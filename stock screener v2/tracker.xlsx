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How To Use" sheetId="4" state="visible" r:id="rId4"/>
    <sheet xmlns:r="http://schemas.openxmlformats.org/officeDocument/2006/relationships" name="Watchli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\₹#,##0"/>
    <numFmt numFmtId="165" formatCode="dd\-mmm\-yy"/>
    <numFmt numFmtId="166" formatCode="\₹#,##0.00"/>
    <numFmt numFmtId="167" formatCode="0.0\%"/>
    <numFmt numFmtId="168" formatCode="0.0\x"/>
    <numFmt numFmtId="169" formatCode="\₹#,##0;[Red]&quot;(₹&quot;#,##0\);\-"/>
    <numFmt numFmtId="170" formatCode="0.0"/>
  </numFmts>
  <fonts count="14">
    <font>
      <name val="Calibri"/>
      <color theme="1"/>
      <sz val="11"/>
      <scheme val="minor"/>
    </font>
    <font>
      <name val="Arial"/>
      <b val="1"/>
      <color rgb="FF2F5496"/>
      <sz val="14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color rgb="FF0000FF"/>
      <sz val="11"/>
    </font>
    <font>
      <name val="Arial"/>
      <i val="1"/>
      <color rgb="FF666666"/>
      <sz val="9"/>
    </font>
    <font>
      <name val="Arial"/>
      <b val="1"/>
      <color rgb="FF2F5496"/>
      <sz val="12"/>
    </font>
    <font>
      <name val="Arial"/>
      <b val="1"/>
      <color theme="1"/>
      <sz val="11"/>
    </font>
    <font>
      <name val="Calibri"/>
      <color theme="1"/>
      <sz val="11"/>
    </font>
    <font>
      <name val="Arial"/>
      <b val="1"/>
      <color rgb="FFC00000"/>
      <sz val="11"/>
    </font>
    <font>
      <name val="Arial"/>
      <color rgb="FFC00000"/>
      <sz val="11"/>
    </font>
    <font>
      <name val="Arial"/>
      <b val="1"/>
      <color rgb="FF00B050"/>
      <sz val="11"/>
    </font>
    <font>
      <name val="Arial"/>
      <color rgb="FF00B050"/>
      <sz val="11"/>
    </font>
    <font>
      <b val="1"/>
      <color rgb="0000F0FF"/>
    </font>
  </fonts>
  <fills count="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5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0" fontId="6" fillId="0" borderId="0" pivotButton="0" quotePrefix="0" xfId="0"/>
    <xf numFmtId="164" fontId="7" fillId="0" borderId="1" pivotButton="0" quotePrefix="0" xfId="0"/>
    <xf numFmtId="0" fontId="2" fillId="2" borderId="1" applyAlignment="1" pivotButton="0" quotePrefix="0" xfId="0">
      <alignment horizontal="center" wrapText="1"/>
    </xf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7" fontId="8" fillId="0" borderId="1" pivotButton="0" quotePrefix="0" xfId="0"/>
    <xf numFmtId="168" fontId="8" fillId="0" borderId="1" pivotButton="0" quotePrefix="0" xfId="0"/>
    <xf numFmtId="0" fontId="8" fillId="0" borderId="1" applyAlignment="1" pivotButton="0" quotePrefix="0" xfId="0">
      <alignment horizontal="center"/>
    </xf>
    <xf numFmtId="3" fontId="8" fillId="0" borderId="1" pivotButton="0" quotePrefix="0" xfId="0"/>
    <xf numFmtId="164" fontId="8" fillId="0" borderId="1" pivotButton="0" quotePrefix="0" xfId="0"/>
    <xf numFmtId="166" fontId="9" fillId="0" borderId="1" pivotButton="0" quotePrefix="0" xfId="0"/>
    <xf numFmtId="166" fontId="10" fillId="0" borderId="1" pivotButton="0" quotePrefix="0" xfId="0"/>
    <xf numFmtId="166" fontId="11" fillId="0" borderId="1" pivotButton="0" quotePrefix="0" xfId="0"/>
    <xf numFmtId="166" fontId="12" fillId="0" borderId="1" pivotButton="0" quotePrefix="0" xfId="0"/>
    <xf numFmtId="169" fontId="8" fillId="0" borderId="1" pivotButton="0" quotePrefix="0" xfId="0"/>
    <xf numFmtId="0" fontId="3" fillId="3" borderId="1" pivotButton="0" quotePrefix="0" xfId="0"/>
    <xf numFmtId="0" fontId="7" fillId="0" borderId="1" pivotButton="0" quotePrefix="0" xfId="0"/>
    <xf numFmtId="170" fontId="7" fillId="0" borderId="1" pivotButton="0" quotePrefix="0" xfId="0"/>
    <xf numFmtId="169" fontId="7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1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0" fontId="8" fillId="0" borderId="1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pivotButton="0" quotePrefix="0" xfId="0"/>
    <xf numFmtId="0" fontId="13" fillId="4" borderId="0" applyAlignment="1" pivotButton="0" quotePrefix="0" xfId="0">
      <alignment horizontal="center"/>
    </xf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D14"/>
  <sheetViews>
    <sheetView workbookViewId="0">
      <selection activeCell="A1" sqref="A1:D1"/>
    </sheetView>
  </sheetViews>
  <sheetFormatPr baseColWidth="8" defaultColWidth="14.44140625" defaultRowHeight="15" customHeight="1"/>
  <cols>
    <col width="28" customWidth="1" style="34" min="1" max="1"/>
    <col width="18" customWidth="1" style="34" min="2" max="2"/>
    <col width="45" customWidth="1" style="34" min="3" max="3"/>
    <col width="8.6640625" customWidth="1" style="34" min="4" max="26"/>
  </cols>
  <sheetData>
    <row r="1" ht="17.4" customHeight="1" s="34">
      <c r="A1" s="33" t="inlineStr">
        <is>
          <t>⚙️ SWING TRADE CONFIG — Investors Way</t>
        </is>
      </c>
    </row>
    <row r="2" ht="14.4" customHeight="1" s="34"/>
    <row r="3" ht="14.4" customHeight="1" s="34">
      <c r="A3" s="1" t="inlineStr">
        <is>
          <t>Parameter</t>
        </is>
      </c>
      <c r="B3" s="1" t="inlineStr">
        <is>
          <t>Value</t>
        </is>
      </c>
      <c r="C3" s="1" t="inlineStr">
        <is>
          <t>Notes</t>
        </is>
      </c>
    </row>
    <row r="4" ht="14.4" customHeight="1" s="34">
      <c r="A4" s="2" t="inlineStr">
        <is>
          <t>Total Capital (₹)</t>
        </is>
      </c>
      <c r="B4" s="5" t="n">
        <v>500000</v>
      </c>
      <c r="C4" s="3" t="inlineStr">
        <is>
          <t>Apna total trading capital daal</t>
        </is>
      </c>
    </row>
    <row r="5" ht="14.4" customHeight="1" s="34">
      <c r="A5" s="2" t="inlineStr">
        <is>
          <t>Max Risk per Trade (%)</t>
        </is>
      </c>
      <c r="B5" s="4" t="n">
        <v>2</v>
      </c>
      <c r="C5" s="3" t="inlineStr">
        <is>
          <t>1-2% recommended — zyada mat karo</t>
        </is>
      </c>
    </row>
    <row r="6" ht="14.4" customHeight="1" s="34">
      <c r="A6" s="2" t="inlineStr">
        <is>
          <t>Max Open Positions</t>
        </is>
      </c>
      <c r="B6" s="5" t="n">
        <v>4</v>
      </c>
      <c r="C6" s="3" t="inlineStr">
        <is>
          <t>Ek time pe kitne trades max</t>
        </is>
      </c>
    </row>
    <row r="7" ht="14.4" customHeight="1" s="34">
      <c r="A7" s="2" t="inlineStr">
        <is>
          <t>Brokerage per Order (₹)</t>
        </is>
      </c>
      <c r="B7" s="5" t="n">
        <v>20</v>
      </c>
      <c r="C7" s="3" t="inlineStr">
        <is>
          <t>Zerodha flat ₹20</t>
        </is>
      </c>
    </row>
    <row r="8" ht="14.4" customHeight="1" s="34">
      <c r="A8" s="2" t="inlineStr">
        <is>
          <t>Min R:R Ratio</t>
        </is>
      </c>
      <c r="B8" s="4" t="n">
        <v>2</v>
      </c>
      <c r="C8" s="3" t="inlineStr">
        <is>
          <t>2:1 se kam = skip</t>
        </is>
      </c>
    </row>
    <row r="9" ht="14.4" customHeight="1" s="34"/>
    <row r="10" ht="15.6" customHeight="1" s="34">
      <c r="A10" s="6" t="inlineStr">
        <is>
          <t>📊 DERIVED (auto-calculated)</t>
        </is>
      </c>
    </row>
    <row r="11" ht="14.4" customHeight="1" s="34">
      <c r="A11" s="2" t="inlineStr">
        <is>
          <t>Risk Amount per Trade (₹)</t>
        </is>
      </c>
      <c r="B11" s="7">
        <f>B4*B5/100</f>
        <v/>
      </c>
    </row>
    <row r="12" ht="14.4" customHeight="1" s="34">
      <c r="A12" s="2" t="inlineStr">
        <is>
          <t>Capital per Position (₹)</t>
        </is>
      </c>
      <c r="B12" s="7">
        <f>B4/B6</f>
        <v/>
      </c>
    </row>
    <row r="13">
      <c r="A13" t="inlineStr">
        <is>
          <t>Telegram Bot Token</t>
        </is>
      </c>
      <c r="B13" t="inlineStr">
        <is>
          <t>8627084548:AAEpQXg8Ff3WBSYwh8s2DcdE_WWiwr_c_WM</t>
        </is>
      </c>
    </row>
    <row r="14">
      <c r="A14" t="inlineStr">
        <is>
          <t>Telegram Chat ID</t>
        </is>
      </c>
      <c r="B14" t="inlineStr">
        <is>
          <t>8215983641</t>
        </is>
      </c>
    </row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1">
    <mergeCell ref="A1:D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V145"/>
  <sheetViews>
    <sheetView tabSelected="1" zoomScale="80" zoomScaleNormal="80" workbookViewId="0">
      <pane ySplit="1" topLeftCell="A2" activePane="bottomLeft" state="frozen"/>
      <selection pane="bottomLeft" activeCell="G123" sqref="G123:Q145"/>
    </sheetView>
  </sheetViews>
  <sheetFormatPr baseColWidth="8" defaultColWidth="14.44140625" defaultRowHeight="15" customHeight="1"/>
  <cols>
    <col width="12" customWidth="1" style="34" min="1" max="1"/>
    <col width="14" customWidth="1" style="34" min="2" max="2"/>
    <col width="15" customWidth="1" style="34" min="3" max="3"/>
    <col width="14" customWidth="1" style="34" min="4" max="6"/>
    <col width="10" customWidth="1" style="34" min="7" max="10"/>
    <col width="8" customWidth="1" style="34" min="11" max="11"/>
    <col width="16" customWidth="1" style="34" min="12" max="12"/>
    <col width="14" customWidth="1" style="34" min="13" max="13"/>
    <col width="15" customWidth="1" style="34" min="14" max="14"/>
    <col width="14" customWidth="1" style="34" min="15" max="15"/>
    <col width="16" customWidth="1" style="34" min="16" max="16"/>
    <col width="15" customWidth="1" style="34" min="17" max="17"/>
    <col width="12" customWidth="1" style="34" min="18" max="18"/>
    <col width="14" customWidth="1" style="34" min="19" max="19"/>
    <col width="12" customWidth="1" style="34" min="20" max="20"/>
    <col width="10" customWidth="1" style="34" min="21" max="21"/>
    <col width="22" customWidth="1" style="34" min="22" max="22"/>
    <col width="8.6640625" customWidth="1" style="34" min="23" max="26"/>
  </cols>
  <sheetData>
    <row r="1" ht="28.2" customHeight="1" s="34">
      <c r="A1" s="8" t="inlineStr">
        <is>
          <t>Date</t>
        </is>
      </c>
      <c r="B1" s="8" t="inlineStr">
        <is>
          <t>Stock</t>
        </is>
      </c>
      <c r="C1" s="8" t="inlineStr">
        <is>
          <t>Entry Price (₹)</t>
        </is>
      </c>
      <c r="D1" s="8" t="inlineStr">
        <is>
          <t>SL Price (₹)</t>
        </is>
      </c>
      <c r="E1" s="8" t="inlineStr">
        <is>
          <t>Target 1 (₹)</t>
        </is>
      </c>
      <c r="F1" s="8" t="inlineStr">
        <is>
          <t>Target 2 (₹)</t>
        </is>
      </c>
      <c r="G1" s="8" t="inlineStr">
        <is>
          <t>SL %</t>
        </is>
      </c>
      <c r="H1" s="8" t="inlineStr">
        <is>
          <t>R:R (T1)</t>
        </is>
      </c>
      <c r="I1" s="8" t="inlineStr">
        <is>
          <t>R:R (T2)</t>
        </is>
      </c>
      <c r="J1" s="8" t="inlineStr">
        <is>
          <t>Signal</t>
        </is>
      </c>
      <c r="K1" s="8" t="inlineStr">
        <is>
          <t>Qty</t>
        </is>
      </c>
      <c r="L1" s="8" t="inlineStr">
        <is>
          <t>Position Size (₹)</t>
        </is>
      </c>
      <c r="M1" s="8" t="inlineStr">
        <is>
          <t>Risk Amt (₹)</t>
        </is>
      </c>
      <c r="N1" s="8" t="inlineStr">
        <is>
          <t>GTT SL Trigger</t>
        </is>
      </c>
      <c r="O1" s="8" t="inlineStr">
        <is>
          <t>GTT SL Price</t>
        </is>
      </c>
      <c r="P1" s="8" t="inlineStr">
        <is>
          <t>GTT Target Trigger</t>
        </is>
      </c>
      <c r="Q1" s="8" t="inlineStr">
        <is>
          <t>GTT Target Price</t>
        </is>
      </c>
      <c r="R1" s="8" t="inlineStr">
        <is>
          <t>Status</t>
        </is>
      </c>
      <c r="S1" s="8" t="inlineStr">
        <is>
          <t>Exit Price (₹)</t>
        </is>
      </c>
      <c r="T1" s="8" t="inlineStr">
        <is>
          <t>P&amp;L (₹)</t>
        </is>
      </c>
      <c r="U1" s="8" t="inlineStr">
        <is>
          <t>P&amp;L %</t>
        </is>
      </c>
      <c r="V1" s="8" t="inlineStr">
        <is>
          <t>Notes</t>
        </is>
      </c>
    </row>
    <row r="2" ht="14.4" customHeight="1" s="34">
      <c r="A2" s="9" t="inlineStr">
        <is>
          <t>2026-07-18</t>
        </is>
      </c>
      <c r="B2" s="10" t="inlineStr">
        <is>
          <t>FEDERALBNK</t>
        </is>
      </c>
      <c r="C2" s="11" t="n">
        <v>349</v>
      </c>
      <c r="D2" s="11" t="n">
        <v>333.41</v>
      </c>
      <c r="E2" s="11" t="n">
        <v>364.59</v>
      </c>
      <c r="F2" s="11" t="n">
        <v>380.18</v>
      </c>
      <c r="G2" s="32" t="n">
        <v>0.0447</v>
      </c>
      <c r="H2" s="13" t="n">
        <v>1</v>
      </c>
      <c r="I2" s="13" t="n">
        <v>2</v>
      </c>
      <c r="J2" s="14" t="inlineStr">
        <is>
          <t>GO</t>
        </is>
      </c>
      <c r="K2" s="15" t="n">
        <v>19</v>
      </c>
      <c r="L2" s="16" t="n">
        <v>6631</v>
      </c>
      <c r="M2" s="16" t="n">
        <v>300</v>
      </c>
      <c r="N2" s="17" t="n">
        <v>333.74</v>
      </c>
      <c r="O2" s="18" t="n">
        <v>333.41</v>
      </c>
      <c r="P2" s="19" t="n">
        <v>379.8</v>
      </c>
      <c r="Q2" s="20" t="n">
        <v>380.18</v>
      </c>
      <c r="R2" s="10" t="inlineStr">
        <is>
          <t>CLOSED - SL</t>
        </is>
      </c>
      <c r="S2" s="11" t="n">
        <v>333.41</v>
      </c>
      <c r="T2" s="21">
        <f>IF(AND(S2&lt;&gt;"",K2&lt;&gt;""),(S2-C2)*K2-2*Config!B7,"")</f>
        <v/>
      </c>
      <c r="U2" s="12">
        <f>IF(AND(T2&lt;&gt;"",L2&lt;&gt;""),T2/L2*100,"")</f>
        <v/>
      </c>
      <c r="V2" s="10" t="n"/>
    </row>
    <row r="3" ht="14.4" customHeight="1" s="34">
      <c r="A3" s="9" t="inlineStr">
        <is>
          <t>2026-07-18</t>
        </is>
      </c>
      <c r="B3" s="10" t="inlineStr">
        <is>
          <t>MBAPL</t>
        </is>
      </c>
      <c r="C3" s="11" t="n">
        <v>136.2</v>
      </c>
      <c r="D3" s="11" t="n">
        <v>122.76</v>
      </c>
      <c r="E3" s="11" t="n">
        <v>149.64</v>
      </c>
      <c r="F3" s="11" t="n">
        <v>163.07</v>
      </c>
      <c r="G3" s="32" t="n">
        <v>0.09859999999999999</v>
      </c>
      <c r="H3" s="13" t="n">
        <v>1</v>
      </c>
      <c r="I3" s="13" t="n">
        <v>2</v>
      </c>
      <c r="J3" s="14" t="inlineStr">
        <is>
          <t>GO</t>
        </is>
      </c>
      <c r="K3" s="15" t="n">
        <v>22</v>
      </c>
      <c r="L3" s="16" t="n">
        <v>2996.4</v>
      </c>
      <c r="M3" s="16" t="n">
        <v>300</v>
      </c>
      <c r="N3" s="17" t="n">
        <v>122.88</v>
      </c>
      <c r="O3" s="18" t="n">
        <v>122.76</v>
      </c>
      <c r="P3" s="19" t="n">
        <v>162.91</v>
      </c>
      <c r="Q3" s="20" t="n">
        <v>163.07</v>
      </c>
      <c r="R3" s="10" t="inlineStr">
        <is>
          <t>OPEN</t>
        </is>
      </c>
      <c r="S3" s="11" t="n"/>
      <c r="T3" s="21">
        <f>IF(AND(S3&lt;&gt;"",K3&lt;&gt;""),(S3-C3)*K3-2*Config!B7,"")</f>
        <v/>
      </c>
      <c r="U3" s="12">
        <f>IF(AND(T3&lt;&gt;"",L3&lt;&gt;""),T3/L3*100,"")</f>
        <v/>
      </c>
      <c r="V3" s="10" t="n"/>
    </row>
    <row r="4" ht="14.4" customHeight="1" s="34">
      <c r="A4" s="9" t="inlineStr">
        <is>
          <t>2026-07-18</t>
        </is>
      </c>
      <c r="B4" s="10" t="inlineStr">
        <is>
          <t>SONACOMS</t>
        </is>
      </c>
      <c r="C4" s="11" t="n">
        <v>704.85</v>
      </c>
      <c r="D4" s="11" t="n">
        <v>669.46</v>
      </c>
      <c r="E4" s="11" t="n">
        <v>740.24</v>
      </c>
      <c r="F4" s="11" t="n">
        <v>775.62</v>
      </c>
      <c r="G4" s="32" t="n">
        <v>0.05019999999999999</v>
      </c>
      <c r="H4" s="13" t="n">
        <v>1</v>
      </c>
      <c r="I4" s="13" t="n">
        <v>2</v>
      </c>
      <c r="J4" s="14" t="inlineStr">
        <is>
          <t>GO</t>
        </is>
      </c>
      <c r="K4" s="15" t="n">
        <v>8</v>
      </c>
      <c r="L4" s="16" t="n">
        <v>5638.8</v>
      </c>
      <c r="M4" s="16" t="n">
        <v>300</v>
      </c>
      <c r="N4" s="17" t="n">
        <v>670.13</v>
      </c>
      <c r="O4" s="18" t="n">
        <v>669.46</v>
      </c>
      <c r="P4" s="19" t="n">
        <v>774.84</v>
      </c>
      <c r="Q4" s="20" t="n">
        <v>775.62</v>
      </c>
      <c r="R4" s="10" t="inlineStr">
        <is>
          <t>OPEN</t>
        </is>
      </c>
      <c r="S4" s="11" t="n"/>
      <c r="T4" s="21">
        <f>IF(AND(S4&lt;&gt;"",K4&lt;&gt;""),(S4-C4)*K4-2*Config!B7,"")</f>
        <v/>
      </c>
      <c r="U4" s="12">
        <f>IF(AND(T4&lt;&gt;"",L4&lt;&gt;""),T4/L4*100,"")</f>
        <v/>
      </c>
      <c r="V4" s="10" t="n"/>
    </row>
    <row r="5" ht="14.4" customHeight="1" s="34">
      <c r="A5" s="9" t="inlineStr">
        <is>
          <t>2026-07-18</t>
        </is>
      </c>
      <c r="B5" s="10" t="inlineStr">
        <is>
          <t>ABB</t>
        </is>
      </c>
      <c r="C5" s="11" t="n">
        <v>7506</v>
      </c>
      <c r="D5" s="11" t="n">
        <v>7050.63</v>
      </c>
      <c r="E5" s="11" t="n">
        <v>7961.37</v>
      </c>
      <c r="F5" s="11" t="n">
        <v>8416.74</v>
      </c>
      <c r="G5" s="32" t="n">
        <v>0.0607</v>
      </c>
      <c r="H5" s="13" t="n">
        <v>1</v>
      </c>
      <c r="I5" s="13" t="n">
        <v>2</v>
      </c>
      <c r="J5" s="14" t="inlineStr">
        <is>
          <t>SKIP</t>
        </is>
      </c>
      <c r="K5" s="15" t="n">
        <v>0</v>
      </c>
      <c r="L5" s="16" t="n">
        <v>0</v>
      </c>
      <c r="M5" s="16" t="n">
        <v>300</v>
      </c>
      <c r="N5" s="17" t="n">
        <v>7057.68</v>
      </c>
      <c r="O5" s="18" t="n">
        <v>7050.63</v>
      </c>
      <c r="P5" s="19" t="n">
        <v>8408.32</v>
      </c>
      <c r="Q5" s="20" t="n">
        <v>8416.74</v>
      </c>
      <c r="R5" s="10" t="inlineStr">
        <is>
          <t>OPEN</t>
        </is>
      </c>
      <c r="S5" s="11" t="n"/>
      <c r="T5" s="21">
        <f>IF(AND(S5&lt;&gt;"",K5&lt;&gt;""),(S5-C5)*K5-2*Config!B7,"")</f>
        <v/>
      </c>
      <c r="U5" s="12">
        <f>IF(AND(T5&lt;&gt;"",L5&lt;&gt;""),T5/L5*100,"")</f>
        <v/>
      </c>
      <c r="V5" s="10" t="n"/>
    </row>
    <row r="6" ht="14.4" customHeight="1" s="34">
      <c r="A6" s="9" t="inlineStr">
        <is>
          <t>2026-07-18</t>
        </is>
      </c>
      <c r="B6" s="10" t="inlineStr">
        <is>
          <t>APOLLOHOSP</t>
        </is>
      </c>
      <c r="C6" s="11" t="n">
        <v>8826</v>
      </c>
      <c r="D6" s="11" t="n">
        <v>8554.780000000001</v>
      </c>
      <c r="E6" s="11" t="n">
        <v>9097.219999999999</v>
      </c>
      <c r="F6" s="11" t="n">
        <v>9368.440000000001</v>
      </c>
      <c r="G6" s="32" t="n">
        <v>0.0307</v>
      </c>
      <c r="H6" s="13" t="n">
        <v>1</v>
      </c>
      <c r="I6" s="13" t="n">
        <v>2</v>
      </c>
      <c r="J6" s="14" t="inlineStr">
        <is>
          <t>GO</t>
        </is>
      </c>
      <c r="K6" s="15" t="n">
        <v>1</v>
      </c>
      <c r="L6" s="16" t="n">
        <v>8826</v>
      </c>
      <c r="M6" s="16" t="n">
        <v>300</v>
      </c>
      <c r="N6" s="17" t="n">
        <v>8563.33</v>
      </c>
      <c r="O6" s="18" t="n">
        <v>8554.780000000001</v>
      </c>
      <c r="P6" s="19" t="n">
        <v>9359.07</v>
      </c>
      <c r="Q6" s="20" t="n">
        <v>9368.440000000001</v>
      </c>
      <c r="R6" s="10" t="inlineStr">
        <is>
          <t>OPEN</t>
        </is>
      </c>
      <c r="S6" s="11" t="n"/>
      <c r="T6" s="21">
        <f>IF(AND(S6&lt;&gt;"",K6&lt;&gt;""),(S6-C6)*K6-2*Config!B7,"")</f>
        <v/>
      </c>
      <c r="U6" s="12">
        <f>IF(AND(T6&lt;&gt;"",L6&lt;&gt;""),T6/L6*100,"")</f>
        <v/>
      </c>
      <c r="V6" s="10" t="n"/>
    </row>
    <row r="7" ht="14.4" customHeight="1" s="34">
      <c r="A7" s="9" t="inlineStr">
        <is>
          <t>2026-07-20</t>
        </is>
      </c>
      <c r="B7" s="10" t="inlineStr">
        <is>
          <t>FEDERALBNK</t>
        </is>
      </c>
      <c r="C7" s="11" t="n">
        <v>350.75</v>
      </c>
      <c r="D7" s="11" t="n">
        <v>334.75</v>
      </c>
      <c r="E7" s="11" t="n">
        <v>366.75</v>
      </c>
      <c r="F7" s="11" t="n">
        <v>382.76</v>
      </c>
      <c r="G7" s="32" t="n">
        <v>0.04559999999999999</v>
      </c>
      <c r="H7" s="13" t="n">
        <v>1</v>
      </c>
      <c r="I7" s="13" t="n">
        <v>2</v>
      </c>
      <c r="J7" s="14" t="inlineStr">
        <is>
          <t>GO</t>
        </is>
      </c>
      <c r="K7" s="15" t="n">
        <v>625</v>
      </c>
      <c r="L7" s="16" t="n">
        <v>219218.75</v>
      </c>
      <c r="M7" s="16" t="n">
        <v>10000</v>
      </c>
      <c r="N7" s="17" t="n">
        <v>335.08</v>
      </c>
      <c r="O7" s="18" t="n">
        <v>334.75</v>
      </c>
      <c r="P7" s="19" t="n">
        <v>382.38</v>
      </c>
      <c r="Q7" s="20" t="n">
        <v>382.76</v>
      </c>
      <c r="R7" s="10" t="n"/>
      <c r="S7" s="11" t="n"/>
      <c r="T7" s="21" t="n"/>
      <c r="U7" s="12" t="n"/>
      <c r="V7" s="10" t="inlineStr">
        <is>
          <t>Financial Services</t>
        </is>
      </c>
    </row>
    <row r="8" ht="14.4" customHeight="1" s="34">
      <c r="A8" s="9" t="n"/>
      <c r="B8" s="10" t="n"/>
      <c r="C8" s="11" t="n"/>
      <c r="D8" s="11" t="n"/>
      <c r="E8" s="11" t="n"/>
      <c r="F8" s="11" t="n"/>
      <c r="G8" s="32" t="n"/>
      <c r="H8" s="13" t="n"/>
      <c r="I8" s="13" t="n"/>
      <c r="J8" s="14" t="n"/>
      <c r="K8" s="15" t="n"/>
      <c r="L8" s="16" t="n"/>
      <c r="M8" s="16" t="n"/>
      <c r="N8" s="17" t="n"/>
      <c r="O8" s="18" t="n"/>
      <c r="P8" s="19" t="n"/>
      <c r="Q8" s="20" t="n"/>
      <c r="R8" s="10" t="n"/>
      <c r="S8" s="11" t="n"/>
      <c r="T8" s="21">
        <f>IF(AND(S8&lt;&gt;"",K8&lt;&gt;""),(S8-C8)*K8-2*Config!B7,"")</f>
        <v/>
      </c>
      <c r="U8" s="12">
        <f>IF(AND(T8&lt;&gt;"",L8&lt;&gt;""),T8/L8*100,"")</f>
        <v/>
      </c>
      <c r="V8" s="10" t="n"/>
    </row>
    <row r="9" ht="14.4" customHeight="1" s="34">
      <c r="A9" s="9" t="n"/>
      <c r="B9" s="10" t="n"/>
      <c r="C9" s="11" t="n"/>
      <c r="D9" s="11" t="n"/>
      <c r="E9" s="11" t="n"/>
      <c r="F9" s="11" t="n"/>
      <c r="G9" s="32" t="n"/>
      <c r="H9" s="13" t="n"/>
      <c r="I9" s="13" t="n"/>
      <c r="J9" s="14" t="n"/>
      <c r="K9" s="15" t="n"/>
      <c r="L9" s="16" t="n"/>
      <c r="M9" s="16" t="n"/>
      <c r="N9" s="17" t="n"/>
      <c r="O9" s="18" t="n"/>
      <c r="P9" s="19" t="n"/>
      <c r="Q9" s="20" t="n"/>
      <c r="R9" s="10" t="n"/>
      <c r="S9" s="11" t="n"/>
      <c r="T9" s="21">
        <f>IF(AND(S9&lt;&gt;"",K9&lt;&gt;""),(S9-C9)*K9-2*Config!B7,"")</f>
        <v/>
      </c>
      <c r="U9" s="12">
        <f>IF(AND(T9&lt;&gt;"",L9&lt;&gt;""),T9/L9*100,"")</f>
        <v/>
      </c>
      <c r="V9" s="10" t="n"/>
    </row>
    <row r="10" ht="14.4" customHeight="1" s="34">
      <c r="A10" s="9" t="n"/>
      <c r="B10" s="10" t="n"/>
      <c r="C10" s="11" t="n"/>
      <c r="D10" s="11" t="n"/>
      <c r="E10" s="11" t="n"/>
      <c r="F10" s="11" t="n"/>
      <c r="G10" s="32" t="n"/>
      <c r="H10" s="13" t="n"/>
      <c r="I10" s="13" t="n"/>
      <c r="J10" s="14" t="n"/>
      <c r="K10" s="15" t="n"/>
      <c r="L10" s="16" t="n"/>
      <c r="M10" s="16" t="n"/>
      <c r="N10" s="17" t="n"/>
      <c r="O10" s="18" t="n"/>
      <c r="P10" s="19" t="n"/>
      <c r="Q10" s="20" t="n"/>
      <c r="R10" s="10" t="n"/>
      <c r="S10" s="11" t="n"/>
      <c r="T10" s="21">
        <f>IF(AND(S10&lt;&gt;"",K10&lt;&gt;""),(S10-C10)*K10-2*Config!B7,"")</f>
        <v/>
      </c>
      <c r="U10" s="12">
        <f>IF(AND(T10&lt;&gt;"",L10&lt;&gt;""),T10/L10*100,"")</f>
        <v/>
      </c>
      <c r="V10" s="10" t="n"/>
    </row>
    <row r="11" ht="14.4" customHeight="1" s="34">
      <c r="A11" s="9" t="n"/>
      <c r="B11" s="10" t="n"/>
      <c r="C11" s="11" t="n"/>
      <c r="D11" s="11" t="n"/>
      <c r="E11" s="11" t="n"/>
      <c r="F11" s="11" t="n"/>
      <c r="G11" s="32" t="n"/>
      <c r="H11" s="13" t="n"/>
      <c r="I11" s="13" t="n"/>
      <c r="J11" s="14" t="n"/>
      <c r="K11" s="15" t="n"/>
      <c r="L11" s="16" t="n"/>
      <c r="M11" s="16" t="n"/>
      <c r="N11" s="17" t="n"/>
      <c r="O11" s="18" t="n"/>
      <c r="P11" s="19" t="n"/>
      <c r="Q11" s="20" t="n"/>
      <c r="R11" s="10" t="n"/>
      <c r="S11" s="11" t="n"/>
      <c r="T11" s="21">
        <f>IF(AND(S11&lt;&gt;"",K11&lt;&gt;""),(S11-C11)*K11-2*Config!B7,"")</f>
        <v/>
      </c>
      <c r="U11" s="12">
        <f>IF(AND(T11&lt;&gt;"",L11&lt;&gt;""),T11/L11*100,"")</f>
        <v/>
      </c>
      <c r="V11" s="10" t="n"/>
    </row>
    <row r="12" ht="14.4" customHeight="1" s="34">
      <c r="A12" s="9" t="n"/>
      <c r="B12" s="10" t="n"/>
      <c r="C12" s="11" t="n"/>
      <c r="D12" s="11" t="n"/>
      <c r="E12" s="11" t="n"/>
      <c r="F12" s="11" t="n"/>
      <c r="G12" s="32" t="n"/>
      <c r="H12" s="13" t="n"/>
      <c r="I12" s="13" t="n"/>
      <c r="J12" s="14" t="n"/>
      <c r="K12" s="15" t="n"/>
      <c r="L12" s="16" t="n"/>
      <c r="M12" s="16" t="n"/>
      <c r="N12" s="17" t="n"/>
      <c r="O12" s="18" t="n"/>
      <c r="P12" s="19" t="n"/>
      <c r="Q12" s="20" t="n"/>
      <c r="R12" s="10" t="n"/>
      <c r="S12" s="11" t="n"/>
      <c r="T12" s="21">
        <f>IF(AND(S12&lt;&gt;"",K12&lt;&gt;""),(S12-C12)*K12-2*Config!B7,"")</f>
        <v/>
      </c>
      <c r="U12" s="12">
        <f>IF(AND(T12&lt;&gt;"",L12&lt;&gt;""),T12/L12*100,"")</f>
        <v/>
      </c>
      <c r="V12" s="10" t="n"/>
    </row>
    <row r="13" ht="14.4" customHeight="1" s="34">
      <c r="A13" s="9" t="n"/>
      <c r="B13" s="10" t="n"/>
      <c r="C13" s="11" t="n"/>
      <c r="D13" s="11" t="n"/>
      <c r="E13" s="11" t="n"/>
      <c r="F13" s="11" t="n"/>
      <c r="G13" s="32" t="n"/>
      <c r="H13" s="13" t="n"/>
      <c r="I13" s="13" t="n"/>
      <c r="J13" s="14" t="n"/>
      <c r="K13" s="15" t="n"/>
      <c r="L13" s="16" t="n"/>
      <c r="M13" s="16" t="n"/>
      <c r="N13" s="17" t="n"/>
      <c r="O13" s="18" t="n"/>
      <c r="P13" s="19" t="n"/>
      <c r="Q13" s="20" t="n"/>
      <c r="R13" s="10" t="n"/>
      <c r="S13" s="11" t="n"/>
      <c r="T13" s="21">
        <f>IF(AND(S13&lt;&gt;"",K13&lt;&gt;""),(S13-C13)*K13-2*Config!B7,"")</f>
        <v/>
      </c>
      <c r="U13" s="12">
        <f>IF(AND(T13&lt;&gt;"",L13&lt;&gt;""),T13/L13*100,"")</f>
        <v/>
      </c>
      <c r="V13" s="10" t="n"/>
    </row>
    <row r="14" ht="14.4" customHeight="1" s="34">
      <c r="A14" s="9" t="n"/>
      <c r="B14" s="10" t="n"/>
      <c r="C14" s="11" t="n"/>
      <c r="D14" s="11" t="n"/>
      <c r="E14" s="11" t="n"/>
      <c r="F14" s="11" t="n"/>
      <c r="G14" s="32" t="n"/>
      <c r="H14" s="13" t="n"/>
      <c r="I14" s="13" t="n"/>
      <c r="J14" s="14" t="n"/>
      <c r="K14" s="15" t="n"/>
      <c r="L14" s="16" t="n"/>
      <c r="M14" s="16" t="n"/>
      <c r="N14" s="17" t="n"/>
      <c r="O14" s="18" t="n"/>
      <c r="P14" s="19" t="n"/>
      <c r="Q14" s="20" t="n"/>
      <c r="R14" s="10" t="n"/>
      <c r="S14" s="11" t="n"/>
      <c r="T14" s="21">
        <f>IF(AND(S14&lt;&gt;"",K14&lt;&gt;""),(S14-C14)*K14-2*Config!B7,"")</f>
        <v/>
      </c>
      <c r="U14" s="12">
        <f>IF(AND(T14&lt;&gt;"",L14&lt;&gt;""),T14/L14*100,"")</f>
        <v/>
      </c>
      <c r="V14" s="10" t="n"/>
    </row>
    <row r="15" ht="14.4" customHeight="1" s="34">
      <c r="A15" s="9" t="n"/>
      <c r="B15" s="10" t="n"/>
      <c r="C15" s="11" t="n"/>
      <c r="D15" s="11" t="n"/>
      <c r="E15" s="11" t="n"/>
      <c r="F15" s="11" t="n"/>
      <c r="G15" s="32" t="n"/>
      <c r="H15" s="13" t="n"/>
      <c r="I15" s="13" t="n"/>
      <c r="J15" s="14" t="n"/>
      <c r="K15" s="15" t="n"/>
      <c r="L15" s="16" t="n"/>
      <c r="M15" s="16" t="n"/>
      <c r="N15" s="17" t="n"/>
      <c r="O15" s="18" t="n"/>
      <c r="P15" s="19" t="n"/>
      <c r="Q15" s="20" t="n"/>
      <c r="R15" s="10" t="n"/>
      <c r="S15" s="11" t="n"/>
      <c r="T15" s="21">
        <f>IF(AND(S15&lt;&gt;"",K15&lt;&gt;""),(S15-C15)*K15-2*Config!B7,"")</f>
        <v/>
      </c>
      <c r="U15" s="12">
        <f>IF(AND(T15&lt;&gt;"",L15&lt;&gt;""),T15/L15*100,"")</f>
        <v/>
      </c>
      <c r="V15" s="10" t="n"/>
    </row>
    <row r="16" ht="14.4" customHeight="1" s="34">
      <c r="A16" s="9" t="n"/>
      <c r="B16" s="10" t="n"/>
      <c r="C16" s="11" t="n"/>
      <c r="D16" s="11" t="n"/>
      <c r="E16" s="11" t="n"/>
      <c r="F16" s="11" t="n"/>
      <c r="G16" s="32" t="n"/>
      <c r="H16" s="13" t="n"/>
      <c r="I16" s="13" t="n"/>
      <c r="J16" s="14" t="n"/>
      <c r="K16" s="15" t="n"/>
      <c r="L16" s="16" t="n"/>
      <c r="M16" s="16" t="n"/>
      <c r="N16" s="17" t="n"/>
      <c r="O16" s="18" t="n"/>
      <c r="P16" s="19" t="n"/>
      <c r="Q16" s="20" t="n"/>
      <c r="R16" s="10" t="n"/>
      <c r="S16" s="11" t="n"/>
      <c r="T16" s="21">
        <f>IF(AND(S16&lt;&gt;"",K16&lt;&gt;""),(S16-C16)*K16-2*Config!B7,"")</f>
        <v/>
      </c>
      <c r="U16" s="12">
        <f>IF(AND(T16&lt;&gt;"",L16&lt;&gt;""),T16/L16*100,"")</f>
        <v/>
      </c>
      <c r="V16" s="10" t="n"/>
    </row>
    <row r="17" ht="14.4" customHeight="1" s="34">
      <c r="A17" s="9" t="n"/>
      <c r="B17" s="10" t="n"/>
      <c r="C17" s="11" t="n"/>
      <c r="D17" s="11" t="n"/>
      <c r="E17" s="11" t="n"/>
      <c r="F17" s="11" t="n"/>
      <c r="G17" s="32" t="n"/>
      <c r="H17" s="13" t="n"/>
      <c r="I17" s="13" t="n"/>
      <c r="J17" s="14" t="n"/>
      <c r="K17" s="15" t="n"/>
      <c r="L17" s="16" t="n"/>
      <c r="M17" s="16" t="n"/>
      <c r="N17" s="17" t="n"/>
      <c r="O17" s="18" t="n"/>
      <c r="P17" s="19" t="n"/>
      <c r="Q17" s="20" t="n"/>
      <c r="R17" s="10" t="n"/>
      <c r="S17" s="11" t="n"/>
      <c r="T17" s="21">
        <f>IF(AND(S17&lt;&gt;"",K17&lt;&gt;""),(S17-C17)*K17-2*Config!B7,"")</f>
        <v/>
      </c>
      <c r="U17" s="12">
        <f>IF(AND(T17&lt;&gt;"",L17&lt;&gt;""),T17/L17*100,"")</f>
        <v/>
      </c>
      <c r="V17" s="10" t="n"/>
    </row>
    <row r="18" ht="14.4" customHeight="1" s="34">
      <c r="A18" s="9" t="n"/>
      <c r="B18" s="10" t="n"/>
      <c r="C18" s="11" t="n"/>
      <c r="D18" s="11" t="n"/>
      <c r="E18" s="11" t="n"/>
      <c r="F18" s="11" t="n"/>
      <c r="G18" s="32" t="n"/>
      <c r="H18" s="13" t="n"/>
      <c r="I18" s="13" t="n"/>
      <c r="J18" s="14" t="n"/>
      <c r="K18" s="15" t="n"/>
      <c r="L18" s="16" t="n"/>
      <c r="M18" s="16" t="n"/>
      <c r="N18" s="17" t="n"/>
      <c r="O18" s="18" t="n"/>
      <c r="P18" s="19" t="n"/>
      <c r="Q18" s="20" t="n"/>
      <c r="R18" s="10" t="n"/>
      <c r="S18" s="11" t="n"/>
      <c r="T18" s="21">
        <f>IF(AND(S18&lt;&gt;"",K18&lt;&gt;""),(S18-C18)*K18-2*Config!B7,"")</f>
        <v/>
      </c>
      <c r="U18" s="12">
        <f>IF(AND(T18&lt;&gt;"",L18&lt;&gt;""),T18/L18*100,"")</f>
        <v/>
      </c>
      <c r="V18" s="10" t="n"/>
    </row>
    <row r="19" ht="14.4" customHeight="1" s="34">
      <c r="A19" s="9" t="n"/>
      <c r="B19" s="10" t="n"/>
      <c r="C19" s="11" t="n"/>
      <c r="D19" s="11" t="n"/>
      <c r="E19" s="11" t="n"/>
      <c r="F19" s="11" t="n"/>
      <c r="G19" s="32" t="n"/>
      <c r="H19" s="13" t="n"/>
      <c r="I19" s="13" t="n"/>
      <c r="J19" s="14" t="n"/>
      <c r="K19" s="15" t="n"/>
      <c r="L19" s="16" t="n"/>
      <c r="M19" s="16" t="n"/>
      <c r="N19" s="17" t="n"/>
      <c r="O19" s="18" t="n"/>
      <c r="P19" s="19" t="n"/>
      <c r="Q19" s="20" t="n"/>
      <c r="R19" s="10" t="n"/>
      <c r="S19" s="11" t="n"/>
      <c r="T19" s="21">
        <f>IF(AND(S19&lt;&gt;"",K19&lt;&gt;""),(S19-C19)*K19-2*Config!B7,"")</f>
        <v/>
      </c>
      <c r="U19" s="12">
        <f>IF(AND(T19&lt;&gt;"",L19&lt;&gt;""),T19/L19*100,"")</f>
        <v/>
      </c>
      <c r="V19" s="10" t="n"/>
    </row>
    <row r="20" ht="14.4" customHeight="1" s="34">
      <c r="A20" s="9" t="n"/>
      <c r="B20" s="10" t="n"/>
      <c r="C20" s="11" t="n"/>
      <c r="D20" s="11" t="n"/>
      <c r="E20" s="11" t="n"/>
      <c r="F20" s="11" t="n"/>
      <c r="G20" s="32" t="n"/>
      <c r="H20" s="13" t="n"/>
      <c r="I20" s="13" t="n"/>
      <c r="J20" s="14" t="n"/>
      <c r="K20" s="15" t="n"/>
      <c r="L20" s="16" t="n"/>
      <c r="M20" s="16" t="n"/>
      <c r="N20" s="17" t="n"/>
      <c r="O20" s="18" t="n"/>
      <c r="P20" s="19" t="n"/>
      <c r="Q20" s="20" t="n"/>
      <c r="R20" s="10" t="n"/>
      <c r="S20" s="11" t="n"/>
      <c r="T20" s="21">
        <f>IF(AND(S20&lt;&gt;"",K20&lt;&gt;""),(S20-C20)*K20-2*Config!B7,"")</f>
        <v/>
      </c>
      <c r="U20" s="12">
        <f>IF(AND(T20&lt;&gt;"",L20&lt;&gt;""),T20/L20*100,"")</f>
        <v/>
      </c>
      <c r="V20" s="10" t="n"/>
    </row>
    <row r="21" ht="15.75" customHeight="1" s="34">
      <c r="A21" s="9" t="n"/>
      <c r="B21" s="10" t="n"/>
      <c r="C21" s="11" t="n"/>
      <c r="D21" s="11" t="n"/>
      <c r="E21" s="11" t="n"/>
      <c r="F21" s="11" t="n"/>
      <c r="G21" s="32" t="n"/>
      <c r="H21" s="13" t="n"/>
      <c r="I21" s="13" t="n"/>
      <c r="J21" s="14" t="n"/>
      <c r="K21" s="15" t="n"/>
      <c r="L21" s="16" t="n"/>
      <c r="M21" s="16" t="n"/>
      <c r="N21" s="17" t="n"/>
      <c r="O21" s="18" t="n"/>
      <c r="P21" s="19" t="n"/>
      <c r="Q21" s="20" t="n"/>
      <c r="R21" s="10" t="n"/>
      <c r="S21" s="11" t="n"/>
      <c r="T21" s="21">
        <f>IF(AND(S21&lt;&gt;"",K21&lt;&gt;""),(S21-C21)*K21-2*Config!B7,"")</f>
        <v/>
      </c>
      <c r="U21" s="12">
        <f>IF(AND(T21&lt;&gt;"",L21&lt;&gt;""),T21/L21*100,"")</f>
        <v/>
      </c>
      <c r="V21" s="10" t="n"/>
    </row>
    <row r="22" ht="15.75" customHeight="1" s="34">
      <c r="A22" s="9" t="n"/>
      <c r="B22" s="10" t="n"/>
      <c r="C22" s="11" t="n"/>
      <c r="D22" s="11" t="n"/>
      <c r="E22" s="11" t="n"/>
      <c r="F22" s="11" t="n"/>
      <c r="G22" s="32" t="n"/>
      <c r="H22" s="13" t="n"/>
      <c r="I22" s="13" t="n"/>
      <c r="J22" s="14" t="n"/>
      <c r="K22" s="15" t="n"/>
      <c r="L22" s="16" t="n"/>
      <c r="M22" s="16" t="n"/>
      <c r="N22" s="17" t="n"/>
      <c r="O22" s="18" t="n"/>
      <c r="P22" s="19" t="n"/>
      <c r="Q22" s="20" t="n"/>
      <c r="R22" s="10" t="n"/>
      <c r="S22" s="11" t="n"/>
      <c r="T22" s="21">
        <f>IF(AND(S22&lt;&gt;"",K22&lt;&gt;""),(S22-C22)*K22-2*Config!B7,"")</f>
        <v/>
      </c>
      <c r="U22" s="12">
        <f>IF(AND(T22&lt;&gt;"",L22&lt;&gt;""),T22/L22*100,"")</f>
        <v/>
      </c>
      <c r="V22" s="10" t="n"/>
    </row>
    <row r="23" ht="15.75" customHeight="1" s="34">
      <c r="A23" s="9" t="n"/>
      <c r="B23" s="10" t="n"/>
      <c r="C23" s="11" t="n"/>
      <c r="D23" s="11" t="n"/>
      <c r="E23" s="11" t="n"/>
      <c r="F23" s="11" t="n"/>
      <c r="G23" s="32" t="n"/>
      <c r="H23" s="13" t="n"/>
      <c r="I23" s="13" t="n"/>
      <c r="J23" s="14" t="n"/>
      <c r="K23" s="15" t="n"/>
      <c r="L23" s="16" t="n"/>
      <c r="M23" s="16" t="n"/>
      <c r="N23" s="17" t="n"/>
      <c r="O23" s="18" t="n"/>
      <c r="P23" s="19" t="n"/>
      <c r="Q23" s="20" t="n"/>
      <c r="R23" s="10" t="n"/>
      <c r="S23" s="11" t="n"/>
      <c r="T23" s="21">
        <f>IF(AND(S23&lt;&gt;"",K23&lt;&gt;""),(S23-C23)*K23-2*Config!B7,"")</f>
        <v/>
      </c>
      <c r="U23" s="12">
        <f>IF(AND(T23&lt;&gt;"",L23&lt;&gt;""),T23/L23*100,"")</f>
        <v/>
      </c>
      <c r="V23" s="10" t="n"/>
    </row>
    <row r="24" ht="15.75" customHeight="1" s="34">
      <c r="A24" s="9" t="n"/>
      <c r="B24" s="10" t="n"/>
      <c r="C24" s="11" t="n"/>
      <c r="D24" s="11" t="n"/>
      <c r="E24" s="11" t="n"/>
      <c r="F24" s="11" t="n"/>
      <c r="G24" s="32" t="n"/>
      <c r="H24" s="13" t="n"/>
      <c r="I24" s="13" t="n"/>
      <c r="J24" s="14" t="n"/>
      <c r="K24" s="15" t="n"/>
      <c r="L24" s="16" t="n"/>
      <c r="M24" s="16" t="n"/>
      <c r="N24" s="17" t="n"/>
      <c r="O24" s="18" t="n"/>
      <c r="P24" s="19" t="n"/>
      <c r="Q24" s="20" t="n"/>
      <c r="R24" s="10" t="n"/>
      <c r="S24" s="11" t="n"/>
      <c r="T24" s="21">
        <f>IF(AND(S24&lt;&gt;"",K24&lt;&gt;""),(S24-C24)*K24-2*Config!B7,"")</f>
        <v/>
      </c>
      <c r="U24" s="12">
        <f>IF(AND(T24&lt;&gt;"",L24&lt;&gt;""),T24/L24*100,"")</f>
        <v/>
      </c>
      <c r="V24" s="10" t="n"/>
    </row>
    <row r="25" ht="15.75" customHeight="1" s="34">
      <c r="A25" s="9" t="n"/>
      <c r="B25" s="10" t="n"/>
      <c r="C25" s="11" t="n"/>
      <c r="D25" s="11" t="n"/>
      <c r="E25" s="11" t="n"/>
      <c r="F25" s="11" t="n"/>
      <c r="G25" s="32" t="n"/>
      <c r="H25" s="13" t="n"/>
      <c r="I25" s="13" t="n"/>
      <c r="J25" s="14" t="n"/>
      <c r="K25" s="15" t="n"/>
      <c r="L25" s="16" t="n"/>
      <c r="M25" s="16" t="n"/>
      <c r="N25" s="17" t="n"/>
      <c r="O25" s="18" t="n"/>
      <c r="P25" s="19" t="n"/>
      <c r="Q25" s="20" t="n"/>
      <c r="R25" s="10" t="n"/>
      <c r="S25" s="11" t="n"/>
      <c r="T25" s="21">
        <f>IF(AND(S25&lt;&gt;"",K25&lt;&gt;""),(S25-C25)*K25-2*Config!B7,"")</f>
        <v/>
      </c>
      <c r="U25" s="12">
        <f>IF(AND(T25&lt;&gt;"",L25&lt;&gt;""),T25/L25*100,"")</f>
        <v/>
      </c>
      <c r="V25" s="10" t="n"/>
    </row>
    <row r="26" ht="15.75" customHeight="1" s="34">
      <c r="A26" s="9" t="n"/>
      <c r="B26" s="10" t="n"/>
      <c r="C26" s="11" t="n"/>
      <c r="D26" s="11" t="n"/>
      <c r="E26" s="11" t="n"/>
      <c r="F26" s="11" t="n"/>
      <c r="G26" s="32" t="n"/>
      <c r="H26" s="13" t="n"/>
      <c r="I26" s="13" t="n"/>
      <c r="J26" s="14" t="n"/>
      <c r="K26" s="15" t="n"/>
      <c r="L26" s="16" t="n"/>
      <c r="M26" s="16" t="n"/>
      <c r="N26" s="17" t="n"/>
      <c r="O26" s="18" t="n"/>
      <c r="P26" s="19" t="n"/>
      <c r="Q26" s="20" t="n"/>
      <c r="R26" s="10" t="n"/>
      <c r="S26" s="11" t="n"/>
      <c r="T26" s="21">
        <f>IF(AND(S26&lt;&gt;"",K26&lt;&gt;""),(S26-C26)*K26-2*Config!B7,"")</f>
        <v/>
      </c>
      <c r="U26" s="12">
        <f>IF(AND(T26&lt;&gt;"",L26&lt;&gt;""),T26/L26*100,"")</f>
        <v/>
      </c>
      <c r="V26" s="10" t="n"/>
    </row>
    <row r="27" ht="15.75" customHeight="1" s="34">
      <c r="A27" s="9" t="n"/>
      <c r="B27" s="10" t="n"/>
      <c r="C27" s="11" t="n"/>
      <c r="D27" s="11" t="n"/>
      <c r="E27" s="11" t="n"/>
      <c r="F27" s="11" t="n"/>
      <c r="G27" s="32" t="n"/>
      <c r="H27" s="13" t="n"/>
      <c r="I27" s="13" t="n"/>
      <c r="J27" s="14" t="n"/>
      <c r="K27" s="15" t="n"/>
      <c r="L27" s="16" t="n"/>
      <c r="M27" s="16" t="n"/>
      <c r="N27" s="17" t="n"/>
      <c r="O27" s="18" t="n"/>
      <c r="P27" s="19" t="n"/>
      <c r="Q27" s="20" t="n"/>
      <c r="R27" s="10" t="n"/>
      <c r="S27" s="11" t="n"/>
      <c r="T27" s="21">
        <f>IF(AND(S27&lt;&gt;"",K27&lt;&gt;""),(S27-C27)*K27-2*Config!B7,"")</f>
        <v/>
      </c>
      <c r="U27" s="12">
        <f>IF(AND(T27&lt;&gt;"",L27&lt;&gt;""),T27/L27*100,"")</f>
        <v/>
      </c>
      <c r="V27" s="10" t="n"/>
    </row>
    <row r="28" ht="15.75" customHeight="1" s="34">
      <c r="A28" s="9" t="n"/>
      <c r="B28" s="10" t="n"/>
      <c r="C28" s="11" t="n"/>
      <c r="D28" s="11" t="n"/>
      <c r="E28" s="11" t="n"/>
      <c r="F28" s="11" t="n"/>
      <c r="G28" s="32" t="n"/>
      <c r="H28" s="13" t="n"/>
      <c r="I28" s="13" t="n"/>
      <c r="J28" s="14" t="n"/>
      <c r="K28" s="15" t="n"/>
      <c r="L28" s="16" t="n"/>
      <c r="M28" s="16" t="n"/>
      <c r="N28" s="17" t="n"/>
      <c r="O28" s="18" t="n"/>
      <c r="P28" s="19" t="n"/>
      <c r="Q28" s="20" t="n"/>
      <c r="R28" s="10" t="n"/>
      <c r="S28" s="11" t="n"/>
      <c r="T28" s="21">
        <f>IF(AND(S28&lt;&gt;"",K28&lt;&gt;""),(S28-C28)*K28-2*Config!B7,"")</f>
        <v/>
      </c>
      <c r="U28" s="12">
        <f>IF(AND(T28&lt;&gt;"",L28&lt;&gt;""),T28/L28*100,"")</f>
        <v/>
      </c>
      <c r="V28" s="10" t="n"/>
    </row>
    <row r="29" ht="15.75" customHeight="1" s="34">
      <c r="A29" s="9" t="n"/>
      <c r="B29" s="10" t="n"/>
      <c r="C29" s="11" t="n"/>
      <c r="D29" s="11" t="n"/>
      <c r="E29" s="11" t="n"/>
      <c r="F29" s="11" t="n"/>
      <c r="G29" s="32" t="n"/>
      <c r="H29" s="13" t="n"/>
      <c r="I29" s="13" t="n"/>
      <c r="J29" s="14" t="n"/>
      <c r="K29" s="15" t="n"/>
      <c r="L29" s="16" t="n"/>
      <c r="M29" s="16" t="n"/>
      <c r="N29" s="17" t="n"/>
      <c r="O29" s="18" t="n"/>
      <c r="P29" s="19" t="n"/>
      <c r="Q29" s="20" t="n"/>
      <c r="R29" s="10" t="n"/>
      <c r="S29" s="11" t="n"/>
      <c r="T29" s="21">
        <f>IF(AND(S29&lt;&gt;"",K29&lt;&gt;""),(S29-C29)*K29-2*Config!B7,"")</f>
        <v/>
      </c>
      <c r="U29" s="12">
        <f>IF(AND(T29&lt;&gt;"",L29&lt;&gt;""),T29/L29*100,"")</f>
        <v/>
      </c>
      <c r="V29" s="10" t="n"/>
    </row>
    <row r="30" ht="15.75" customHeight="1" s="34">
      <c r="A30" s="9" t="n"/>
      <c r="B30" s="10" t="n"/>
      <c r="C30" s="11" t="n"/>
      <c r="D30" s="11" t="n"/>
      <c r="E30" s="11" t="n"/>
      <c r="F30" s="11" t="n"/>
      <c r="G30" s="12" t="n"/>
      <c r="H30" s="13" t="n"/>
      <c r="I30" s="13" t="n"/>
      <c r="J30" s="14" t="n"/>
      <c r="K30" s="15" t="n"/>
      <c r="L30" s="16" t="n"/>
      <c r="M30" s="16" t="n"/>
      <c r="N30" s="17" t="n"/>
      <c r="O30" s="18" t="n"/>
      <c r="P30" s="19" t="n"/>
      <c r="Q30" s="20" t="n"/>
      <c r="R30" s="10" t="n"/>
      <c r="S30" s="11" t="n"/>
      <c r="T30" s="21">
        <f>IF(AND(S30&lt;&gt;"",K30&lt;&gt;""),(S30-C30)*K30-2*Config!B7,"")</f>
        <v/>
      </c>
      <c r="U30" s="12">
        <f>IF(AND(T30&lt;&gt;"",L30&lt;&gt;""),T30/L30*100,"")</f>
        <v/>
      </c>
      <c r="V30" s="10" t="n"/>
    </row>
    <row r="31" ht="15.75" customHeight="1" s="34">
      <c r="A31" s="9" t="n"/>
      <c r="B31" s="10" t="n"/>
      <c r="C31" s="11" t="n"/>
      <c r="D31" s="11" t="n"/>
      <c r="E31" s="11" t="n"/>
      <c r="F31" s="11" t="n"/>
      <c r="G31" s="12" t="n"/>
      <c r="H31" s="13" t="n"/>
      <c r="I31" s="13" t="n"/>
      <c r="J31" s="14" t="n"/>
      <c r="K31" s="15" t="n"/>
      <c r="L31" s="16" t="n"/>
      <c r="M31" s="16" t="n"/>
      <c r="N31" s="17" t="n"/>
      <c r="O31" s="18" t="n"/>
      <c r="P31" s="19" t="n"/>
      <c r="Q31" s="20" t="n"/>
      <c r="R31" s="10" t="n"/>
      <c r="S31" s="11" t="n"/>
      <c r="T31" s="21">
        <f>IF(AND(S31&lt;&gt;"",K31&lt;&gt;""),(S31-C31)*K31-2*Config!B7,"")</f>
        <v/>
      </c>
      <c r="U31" s="12">
        <f>IF(AND(T31&lt;&gt;"",L31&lt;&gt;""),T31/L31*100,"")</f>
        <v/>
      </c>
      <c r="V31" s="10" t="n"/>
    </row>
    <row r="32" ht="15.75" customHeight="1" s="34">
      <c r="A32" s="9" t="n"/>
      <c r="B32" s="10" t="n"/>
      <c r="C32" s="11" t="n"/>
      <c r="D32" s="11" t="n"/>
      <c r="E32" s="11" t="n"/>
      <c r="F32" s="11" t="n"/>
      <c r="G32" s="12" t="n"/>
      <c r="H32" s="13" t="n"/>
      <c r="I32" s="13" t="n"/>
      <c r="J32" s="14" t="n"/>
      <c r="K32" s="15" t="n"/>
      <c r="L32" s="16" t="n"/>
      <c r="M32" s="16" t="n"/>
      <c r="N32" s="17" t="n"/>
      <c r="O32" s="18" t="n"/>
      <c r="P32" s="19" t="n"/>
      <c r="Q32" s="20" t="n"/>
      <c r="R32" s="10" t="n"/>
      <c r="S32" s="11" t="n"/>
      <c r="T32" s="21">
        <f>IF(AND(S32&lt;&gt;"",K32&lt;&gt;""),(S32-C32)*K32-2*Config!B7,"")</f>
        <v/>
      </c>
      <c r="U32" s="12">
        <f>IF(AND(T32&lt;&gt;"",L32&lt;&gt;""),T32/L32*100,"")</f>
        <v/>
      </c>
      <c r="V32" s="10" t="n"/>
    </row>
    <row r="33" ht="15.75" customHeight="1" s="34">
      <c r="A33" s="9" t="n"/>
      <c r="B33" s="10" t="n"/>
      <c r="C33" s="11" t="n"/>
      <c r="D33" s="11" t="n"/>
      <c r="E33" s="11" t="n"/>
      <c r="F33" s="11" t="n"/>
      <c r="G33" s="12" t="n"/>
      <c r="H33" s="13" t="n"/>
      <c r="I33" s="13" t="n"/>
      <c r="J33" s="14" t="n"/>
      <c r="K33" s="15" t="n"/>
      <c r="L33" s="16" t="n"/>
      <c r="M33" s="16" t="n"/>
      <c r="N33" s="17" t="n"/>
      <c r="O33" s="18" t="n"/>
      <c r="P33" s="19" t="n"/>
      <c r="Q33" s="20" t="n"/>
      <c r="R33" s="10" t="n"/>
      <c r="S33" s="11" t="n"/>
      <c r="T33" s="21">
        <f>IF(AND(S33&lt;&gt;"",K33&lt;&gt;""),(S33-C33)*K33-2*Config!B7,"")</f>
        <v/>
      </c>
      <c r="U33" s="12">
        <f>IF(AND(T33&lt;&gt;"",L33&lt;&gt;""),T33/L33*100,"")</f>
        <v/>
      </c>
      <c r="V33" s="10" t="n"/>
    </row>
    <row r="34" ht="15.75" customHeight="1" s="34">
      <c r="A34" s="9" t="n"/>
      <c r="B34" s="10" t="n"/>
      <c r="C34" s="11" t="n"/>
      <c r="D34" s="11" t="n"/>
      <c r="E34" s="11" t="n"/>
      <c r="F34" s="11" t="n"/>
      <c r="G34" s="12" t="n"/>
      <c r="H34" s="13" t="n"/>
      <c r="I34" s="13" t="n"/>
      <c r="J34" s="14" t="n"/>
      <c r="K34" s="15" t="n"/>
      <c r="L34" s="16" t="n"/>
      <c r="M34" s="16" t="n"/>
      <c r="N34" s="17" t="n"/>
      <c r="O34" s="18" t="n"/>
      <c r="P34" s="19" t="n"/>
      <c r="Q34" s="20" t="n"/>
      <c r="R34" s="10" t="n"/>
      <c r="S34" s="11" t="n"/>
      <c r="T34" s="21">
        <f>IF(AND(S34&lt;&gt;"",K34&lt;&gt;""),(S34-C34)*K34-2*Config!B7,"")</f>
        <v/>
      </c>
      <c r="U34" s="12">
        <f>IF(AND(T34&lt;&gt;"",L34&lt;&gt;""),T34/L34*100,"")</f>
        <v/>
      </c>
      <c r="V34" s="10" t="n"/>
    </row>
    <row r="35" ht="15.75" customHeight="1" s="34">
      <c r="A35" s="9" t="n"/>
      <c r="B35" s="10" t="n"/>
      <c r="C35" s="11" t="n"/>
      <c r="D35" s="11" t="n"/>
      <c r="E35" s="11" t="n"/>
      <c r="F35" s="11" t="n"/>
      <c r="G35" s="12" t="n"/>
      <c r="H35" s="13" t="n"/>
      <c r="I35" s="13" t="n"/>
      <c r="J35" s="14" t="n"/>
      <c r="K35" s="15" t="n"/>
      <c r="L35" s="16" t="n"/>
      <c r="M35" s="16" t="n"/>
      <c r="N35" s="17" t="n"/>
      <c r="O35" s="18" t="n"/>
      <c r="P35" s="19" t="n"/>
      <c r="Q35" s="20" t="n"/>
      <c r="R35" s="10" t="n"/>
      <c r="S35" s="11" t="n"/>
      <c r="T35" s="21">
        <f>IF(AND(S35&lt;&gt;"",K35&lt;&gt;""),(S35-C35)*K35-2*Config!B7,"")</f>
        <v/>
      </c>
      <c r="U35" s="12">
        <f>IF(AND(T35&lt;&gt;"",L35&lt;&gt;""),T35/L35*100,"")</f>
        <v/>
      </c>
      <c r="V35" s="10" t="n"/>
    </row>
    <row r="36" ht="15.75" customHeight="1" s="34">
      <c r="A36" s="9" t="n"/>
      <c r="B36" s="10" t="n"/>
      <c r="C36" s="11" t="n"/>
      <c r="D36" s="11" t="n"/>
      <c r="E36" s="11" t="n"/>
      <c r="F36" s="11" t="n"/>
      <c r="G36" s="12" t="n"/>
      <c r="H36" s="13" t="n"/>
      <c r="I36" s="13" t="n"/>
      <c r="J36" s="14" t="n"/>
      <c r="K36" s="15" t="n"/>
      <c r="L36" s="16" t="n"/>
      <c r="M36" s="16" t="n"/>
      <c r="N36" s="17" t="n"/>
      <c r="O36" s="18" t="n"/>
      <c r="P36" s="19" t="n"/>
      <c r="Q36" s="20" t="n"/>
      <c r="R36" s="10" t="n"/>
      <c r="S36" s="11" t="n"/>
      <c r="T36" s="21">
        <f>IF(AND(S36&lt;&gt;"",K36&lt;&gt;""),(S36-C36)*K36-2*Config!B7,"")</f>
        <v/>
      </c>
      <c r="U36" s="12">
        <f>IF(AND(T36&lt;&gt;"",L36&lt;&gt;""),T36/L36*100,"")</f>
        <v/>
      </c>
      <c r="V36" s="10" t="n"/>
    </row>
    <row r="37" ht="15.75" customHeight="1" s="34">
      <c r="A37" s="9" t="n"/>
      <c r="B37" s="10" t="n"/>
      <c r="C37" s="11" t="n"/>
      <c r="D37" s="11" t="n"/>
      <c r="E37" s="11" t="n"/>
      <c r="F37" s="11" t="n"/>
      <c r="G37" s="12" t="n"/>
      <c r="H37" s="13" t="n"/>
      <c r="I37" s="13" t="n"/>
      <c r="J37" s="14" t="n"/>
      <c r="K37" s="15" t="n"/>
      <c r="L37" s="16" t="n"/>
      <c r="M37" s="16" t="n"/>
      <c r="N37" s="17" t="n"/>
      <c r="O37" s="18" t="n"/>
      <c r="P37" s="19" t="n"/>
      <c r="Q37" s="20" t="n"/>
      <c r="R37" s="10" t="n"/>
      <c r="S37" s="11" t="n"/>
      <c r="T37" s="21">
        <f>IF(AND(S37&lt;&gt;"",K37&lt;&gt;""),(S37-C37)*K37-2*Config!B7,"")</f>
        <v/>
      </c>
      <c r="U37" s="12">
        <f>IF(AND(T37&lt;&gt;"",L37&lt;&gt;""),T37/L37*100,"")</f>
        <v/>
      </c>
      <c r="V37" s="10" t="n"/>
    </row>
    <row r="38" ht="15.75" customHeight="1" s="34">
      <c r="A38" s="9" t="n"/>
      <c r="B38" s="10" t="n"/>
      <c r="C38" s="11" t="n"/>
      <c r="D38" s="11" t="n"/>
      <c r="E38" s="11" t="n"/>
      <c r="F38" s="11" t="n"/>
      <c r="G38" s="12" t="n"/>
      <c r="H38" s="13" t="n"/>
      <c r="I38" s="13" t="n"/>
      <c r="J38" s="14" t="n"/>
      <c r="K38" s="15" t="n"/>
      <c r="L38" s="16" t="n"/>
      <c r="M38" s="16" t="n"/>
      <c r="N38" s="17" t="n"/>
      <c r="O38" s="18" t="n"/>
      <c r="P38" s="19" t="n"/>
      <c r="Q38" s="20" t="n"/>
      <c r="R38" s="10" t="n"/>
      <c r="S38" s="11" t="n"/>
      <c r="T38" s="21">
        <f>IF(AND(S38&lt;&gt;"",K38&lt;&gt;""),(S38-C38)*K38-2*Config!B7,"")</f>
        <v/>
      </c>
      <c r="U38" s="12">
        <f>IF(AND(T38&lt;&gt;"",L38&lt;&gt;""),T38/L38*100,"")</f>
        <v/>
      </c>
      <c r="V38" s="10" t="n"/>
    </row>
    <row r="39" ht="15.75" customHeight="1" s="34">
      <c r="A39" s="9" t="n"/>
      <c r="B39" s="10" t="n"/>
      <c r="C39" s="11" t="n"/>
      <c r="D39" s="11" t="n"/>
      <c r="E39" s="11" t="n"/>
      <c r="F39" s="11" t="n"/>
      <c r="G39" s="12" t="n"/>
      <c r="H39" s="13" t="n"/>
      <c r="I39" s="13" t="n"/>
      <c r="J39" s="14" t="n"/>
      <c r="K39" s="15" t="n"/>
      <c r="L39" s="16" t="n"/>
      <c r="M39" s="16" t="n"/>
      <c r="N39" s="17" t="n"/>
      <c r="O39" s="18" t="n"/>
      <c r="P39" s="19" t="n"/>
      <c r="Q39" s="20" t="n"/>
      <c r="R39" s="10" t="n"/>
      <c r="S39" s="11" t="n"/>
      <c r="T39" s="21">
        <f>IF(AND(S39&lt;&gt;"",K39&lt;&gt;""),(S39-C39)*K39-2*Config!B7,"")</f>
        <v/>
      </c>
      <c r="U39" s="12">
        <f>IF(AND(T39&lt;&gt;"",L39&lt;&gt;""),T39/L39*100,"")</f>
        <v/>
      </c>
      <c r="V39" s="10" t="n"/>
    </row>
    <row r="40" ht="15.75" customHeight="1" s="34">
      <c r="A40" s="9" t="n"/>
      <c r="B40" s="10" t="n"/>
      <c r="C40" s="11" t="n"/>
      <c r="D40" s="11" t="n"/>
      <c r="E40" s="11" t="n"/>
      <c r="F40" s="11" t="n"/>
      <c r="G40" s="12" t="n"/>
      <c r="H40" s="13" t="n"/>
      <c r="I40" s="13" t="n"/>
      <c r="J40" s="14" t="n"/>
      <c r="K40" s="15" t="n"/>
      <c r="L40" s="16" t="n"/>
      <c r="M40" s="16" t="n"/>
      <c r="N40" s="17" t="n"/>
      <c r="O40" s="18" t="n"/>
      <c r="P40" s="19" t="n"/>
      <c r="Q40" s="20" t="n"/>
      <c r="R40" s="10" t="n"/>
      <c r="S40" s="11" t="n"/>
      <c r="T40" s="21">
        <f>IF(AND(S40&lt;&gt;"",K40&lt;&gt;""),(S40-C40)*K40-2*Config!B7,"")</f>
        <v/>
      </c>
      <c r="U40" s="12">
        <f>IF(AND(T40&lt;&gt;"",L40&lt;&gt;""),T40/L40*100,"")</f>
        <v/>
      </c>
      <c r="V40" s="10" t="n"/>
    </row>
    <row r="41" ht="15.75" customHeight="1" s="34">
      <c r="A41" s="9" t="n"/>
      <c r="B41" s="10" t="n"/>
      <c r="C41" s="11" t="n"/>
      <c r="D41" s="11" t="n"/>
      <c r="E41" s="11" t="n"/>
      <c r="F41" s="11" t="n"/>
      <c r="G41" s="12" t="n"/>
      <c r="H41" s="13" t="n"/>
      <c r="I41" s="13" t="n"/>
      <c r="J41" s="14" t="n"/>
      <c r="K41" s="15" t="n"/>
      <c r="L41" s="16" t="n"/>
      <c r="M41" s="16" t="n"/>
      <c r="N41" s="17" t="n"/>
      <c r="O41" s="18" t="n"/>
      <c r="P41" s="19" t="n"/>
      <c r="Q41" s="20" t="n"/>
      <c r="R41" s="10" t="n"/>
      <c r="S41" s="11" t="n"/>
      <c r="T41" s="21">
        <f>IF(AND(S41&lt;&gt;"",K41&lt;&gt;""),(S41-C41)*K41-2*Config!B7,"")</f>
        <v/>
      </c>
      <c r="U41" s="12">
        <f>IF(AND(T41&lt;&gt;"",L41&lt;&gt;""),T41/L41*100,"")</f>
        <v/>
      </c>
      <c r="V41" s="10" t="n"/>
    </row>
    <row r="42" ht="15.75" customHeight="1" s="34">
      <c r="A42" s="9" t="n"/>
      <c r="B42" s="10" t="n"/>
      <c r="C42" s="11" t="n"/>
      <c r="D42" s="11" t="n"/>
      <c r="E42" s="11" t="n"/>
      <c r="F42" s="11" t="n"/>
      <c r="G42" s="12" t="n"/>
      <c r="H42" s="13" t="n"/>
      <c r="I42" s="13" t="n"/>
      <c r="J42" s="14" t="n"/>
      <c r="K42" s="15" t="n"/>
      <c r="L42" s="16" t="n"/>
      <c r="M42" s="16" t="n"/>
      <c r="N42" s="17" t="n"/>
      <c r="O42" s="18" t="n"/>
      <c r="P42" s="19" t="n"/>
      <c r="Q42" s="20" t="n"/>
      <c r="R42" s="10" t="n"/>
      <c r="S42" s="11" t="n"/>
      <c r="T42" s="21">
        <f>IF(AND(S42&lt;&gt;"",K42&lt;&gt;""),(S42-C42)*K42-2*Config!B7,"")</f>
        <v/>
      </c>
      <c r="U42" s="12">
        <f>IF(AND(T42&lt;&gt;"",L42&lt;&gt;""),T42/L42*100,"")</f>
        <v/>
      </c>
      <c r="V42" s="10" t="n"/>
    </row>
    <row r="43" ht="15.75" customHeight="1" s="34">
      <c r="A43" s="9" t="n"/>
      <c r="B43" s="10" t="n"/>
      <c r="C43" s="11" t="n"/>
      <c r="D43" s="11" t="n"/>
      <c r="E43" s="11" t="n"/>
      <c r="F43" s="11" t="n"/>
      <c r="G43" s="12" t="n"/>
      <c r="H43" s="13" t="n"/>
      <c r="I43" s="13" t="n"/>
      <c r="J43" s="14" t="n"/>
      <c r="K43" s="15" t="n"/>
      <c r="L43" s="16" t="n"/>
      <c r="M43" s="16" t="n"/>
      <c r="N43" s="17" t="n"/>
      <c r="O43" s="18" t="n"/>
      <c r="P43" s="19" t="n"/>
      <c r="Q43" s="20" t="n"/>
      <c r="R43" s="10" t="n"/>
      <c r="S43" s="11" t="n"/>
      <c r="T43" s="21">
        <f>IF(AND(S43&lt;&gt;"",K43&lt;&gt;""),(S43-C43)*K43-2*Config!B7,"")</f>
        <v/>
      </c>
      <c r="U43" s="12">
        <f>IF(AND(T43&lt;&gt;"",L43&lt;&gt;""),T43/L43*100,"")</f>
        <v/>
      </c>
      <c r="V43" s="10" t="n"/>
    </row>
    <row r="44" ht="15.75" customHeight="1" s="34">
      <c r="A44" s="9" t="n"/>
      <c r="B44" s="10" t="n"/>
      <c r="C44" s="11" t="n"/>
      <c r="D44" s="11" t="n"/>
      <c r="E44" s="11" t="n"/>
      <c r="F44" s="11" t="n"/>
      <c r="G44" s="12" t="n"/>
      <c r="H44" s="13" t="n"/>
      <c r="I44" s="13" t="n"/>
      <c r="J44" s="14" t="n"/>
      <c r="K44" s="15" t="n"/>
      <c r="L44" s="16" t="n"/>
      <c r="M44" s="16" t="n"/>
      <c r="N44" s="17" t="n"/>
      <c r="O44" s="18" t="n"/>
      <c r="P44" s="19" t="n"/>
      <c r="Q44" s="20" t="n"/>
      <c r="R44" s="10" t="n"/>
      <c r="S44" s="11" t="n"/>
      <c r="T44" s="21">
        <f>IF(AND(S44&lt;&gt;"",K44&lt;&gt;""),(S44-C44)*K44-2*Config!B7,"")</f>
        <v/>
      </c>
      <c r="U44" s="12">
        <f>IF(AND(T44&lt;&gt;"",L44&lt;&gt;""),T44/L44*100,"")</f>
        <v/>
      </c>
      <c r="V44" s="10" t="n"/>
    </row>
    <row r="45" ht="15.75" customHeight="1" s="34">
      <c r="A45" s="9" t="n"/>
      <c r="B45" s="10" t="n"/>
      <c r="C45" s="11" t="n"/>
      <c r="D45" s="11" t="n"/>
      <c r="E45" s="11" t="n"/>
      <c r="F45" s="11" t="n"/>
      <c r="G45" s="12" t="n"/>
      <c r="H45" s="13" t="n"/>
      <c r="I45" s="13" t="n"/>
      <c r="J45" s="14" t="n"/>
      <c r="K45" s="15" t="n"/>
      <c r="L45" s="16" t="n"/>
      <c r="M45" s="16" t="n"/>
      <c r="N45" s="17" t="n"/>
      <c r="O45" s="18" t="n"/>
      <c r="P45" s="19" t="n"/>
      <c r="Q45" s="20" t="n"/>
      <c r="R45" s="10" t="n"/>
      <c r="S45" s="11" t="n"/>
      <c r="T45" s="21">
        <f>IF(AND(S45&lt;&gt;"",K45&lt;&gt;""),(S45-C45)*K45-2*Config!B7,"")</f>
        <v/>
      </c>
      <c r="U45" s="12">
        <f>IF(AND(T45&lt;&gt;"",L45&lt;&gt;""),T45/L45*100,"")</f>
        <v/>
      </c>
      <c r="V45" s="10" t="n"/>
    </row>
    <row r="46" ht="15.75" customHeight="1" s="34">
      <c r="A46" s="9" t="n"/>
      <c r="B46" s="10" t="n"/>
      <c r="C46" s="11" t="n"/>
      <c r="D46" s="11" t="n"/>
      <c r="E46" s="11" t="n"/>
      <c r="F46" s="11" t="n"/>
      <c r="G46" s="12" t="n"/>
      <c r="H46" s="13" t="n"/>
      <c r="I46" s="13" t="n"/>
      <c r="J46" s="14" t="n"/>
      <c r="K46" s="15" t="n"/>
      <c r="L46" s="16" t="n"/>
      <c r="M46" s="16" t="n"/>
      <c r="N46" s="17" t="n"/>
      <c r="O46" s="18" t="n"/>
      <c r="P46" s="19" t="n"/>
      <c r="Q46" s="20" t="n"/>
      <c r="R46" s="10" t="n"/>
      <c r="S46" s="11" t="n"/>
      <c r="T46" s="21">
        <f>IF(AND(S46&lt;&gt;"",K46&lt;&gt;""),(S46-C46)*K46-2*Config!B7,"")</f>
        <v/>
      </c>
      <c r="U46" s="12">
        <f>IF(AND(T46&lt;&gt;"",L46&lt;&gt;""),T46/L46*100,"")</f>
        <v/>
      </c>
      <c r="V46" s="10" t="n"/>
    </row>
    <row r="47" ht="15.75" customHeight="1" s="34">
      <c r="A47" s="9" t="n"/>
      <c r="B47" s="10" t="n"/>
      <c r="C47" s="11" t="n"/>
      <c r="D47" s="11" t="n"/>
      <c r="E47" s="11" t="n"/>
      <c r="F47" s="11" t="n"/>
      <c r="G47" s="12" t="n"/>
      <c r="H47" s="13" t="n"/>
      <c r="I47" s="13" t="n"/>
      <c r="J47" s="14" t="n"/>
      <c r="K47" s="15" t="n"/>
      <c r="L47" s="16" t="n"/>
      <c r="M47" s="16" t="n"/>
      <c r="N47" s="17" t="n"/>
      <c r="O47" s="18" t="n"/>
      <c r="P47" s="19" t="n"/>
      <c r="Q47" s="20" t="n"/>
      <c r="R47" s="10" t="n"/>
      <c r="S47" s="11" t="n"/>
      <c r="T47" s="21">
        <f>IF(AND(S47&lt;&gt;"",K47&lt;&gt;""),(S47-C47)*K47-2*Config!B7,"")</f>
        <v/>
      </c>
      <c r="U47" s="12">
        <f>IF(AND(T47&lt;&gt;"",L47&lt;&gt;""),T47/L47*100,"")</f>
        <v/>
      </c>
      <c r="V47" s="10" t="n"/>
    </row>
    <row r="48" ht="15.75" customHeight="1" s="34">
      <c r="A48" s="9" t="n"/>
      <c r="B48" s="10" t="n"/>
      <c r="C48" s="11" t="n"/>
      <c r="D48" s="11" t="n"/>
      <c r="E48" s="11" t="n"/>
      <c r="F48" s="11" t="n"/>
      <c r="G48" s="12" t="n"/>
      <c r="H48" s="13" t="n"/>
      <c r="I48" s="13" t="n"/>
      <c r="J48" s="14" t="n"/>
      <c r="K48" s="15" t="n"/>
      <c r="L48" s="16" t="n"/>
      <c r="M48" s="16" t="n"/>
      <c r="N48" s="17" t="n"/>
      <c r="O48" s="18" t="n"/>
      <c r="P48" s="19" t="n"/>
      <c r="Q48" s="20" t="n"/>
      <c r="R48" s="10" t="n"/>
      <c r="S48" s="11" t="n"/>
      <c r="T48" s="21">
        <f>IF(AND(S48&lt;&gt;"",K48&lt;&gt;""),(S48-C48)*K48-2*Config!B7,"")</f>
        <v/>
      </c>
      <c r="U48" s="12">
        <f>IF(AND(T48&lt;&gt;"",L48&lt;&gt;""),T48/L48*100,"")</f>
        <v/>
      </c>
      <c r="V48" s="10" t="n"/>
    </row>
    <row r="49" ht="15.75" customHeight="1" s="34">
      <c r="A49" s="9" t="n"/>
      <c r="B49" s="10" t="n"/>
      <c r="C49" s="11" t="n"/>
      <c r="D49" s="11" t="n"/>
      <c r="E49" s="11" t="n"/>
      <c r="F49" s="11" t="n"/>
      <c r="G49" s="12" t="n"/>
      <c r="H49" s="13" t="n"/>
      <c r="I49" s="13" t="n"/>
      <c r="J49" s="14" t="n"/>
      <c r="K49" s="15" t="n"/>
      <c r="L49" s="16" t="n"/>
      <c r="M49" s="16" t="n"/>
      <c r="N49" s="17" t="n"/>
      <c r="O49" s="18" t="n"/>
      <c r="P49" s="19" t="n"/>
      <c r="Q49" s="20" t="n"/>
      <c r="R49" s="10" t="n"/>
      <c r="S49" s="11" t="n"/>
      <c r="T49" s="21">
        <f>IF(AND(S49&lt;&gt;"",K49&lt;&gt;""),(S49-C49)*K49-2*Config!B7,"")</f>
        <v/>
      </c>
      <c r="U49" s="12">
        <f>IF(AND(T49&lt;&gt;"",L49&lt;&gt;""),T49/L49*100,"")</f>
        <v/>
      </c>
      <c r="V49" s="10" t="n"/>
    </row>
    <row r="50" ht="15.75" customHeight="1" s="34">
      <c r="A50" s="9" t="n"/>
      <c r="B50" s="10" t="n"/>
      <c r="C50" s="11" t="n"/>
      <c r="D50" s="11" t="n"/>
      <c r="E50" s="11" t="n"/>
      <c r="F50" s="11" t="n"/>
      <c r="G50" s="12" t="n"/>
      <c r="H50" s="13" t="n"/>
      <c r="I50" s="13" t="n"/>
      <c r="J50" s="14" t="n"/>
      <c r="K50" s="15" t="n"/>
      <c r="L50" s="16" t="n"/>
      <c r="M50" s="16" t="n"/>
      <c r="N50" s="17" t="n"/>
      <c r="O50" s="18" t="n"/>
      <c r="P50" s="19" t="n"/>
      <c r="Q50" s="20" t="n"/>
      <c r="R50" s="10" t="n"/>
      <c r="S50" s="11" t="n"/>
      <c r="T50" s="21">
        <f>IF(AND(S50&lt;&gt;"",K50&lt;&gt;""),(S50-C50)*K50-2*Config!B7,"")</f>
        <v/>
      </c>
      <c r="U50" s="12">
        <f>IF(AND(T50&lt;&gt;"",L50&lt;&gt;""),T50/L50*100,"")</f>
        <v/>
      </c>
      <c r="V50" s="10" t="n"/>
    </row>
    <row r="51" ht="15.75" customHeight="1" s="34">
      <c r="A51" s="9" t="n"/>
      <c r="B51" s="10" t="n"/>
      <c r="C51" s="11" t="n"/>
      <c r="D51" s="11" t="n"/>
      <c r="E51" s="11" t="n"/>
      <c r="F51" s="11" t="n"/>
      <c r="G51" s="12" t="n"/>
      <c r="H51" s="13" t="n"/>
      <c r="I51" s="13" t="n"/>
      <c r="J51" s="14" t="n"/>
      <c r="K51" s="15" t="n"/>
      <c r="L51" s="16" t="n"/>
      <c r="M51" s="16" t="n"/>
      <c r="N51" s="17" t="n"/>
      <c r="O51" s="18" t="n"/>
      <c r="P51" s="19" t="n"/>
      <c r="Q51" s="20" t="n"/>
      <c r="R51" s="10" t="n"/>
      <c r="S51" s="11" t="n"/>
      <c r="T51" s="21">
        <f>IF(AND(S51&lt;&gt;"",K51&lt;&gt;""),(S51-C51)*K51-2*Config!B7,"")</f>
        <v/>
      </c>
      <c r="U51" s="12">
        <f>IF(AND(T51&lt;&gt;"",L51&lt;&gt;""),T51/L51*100,"")</f>
        <v/>
      </c>
      <c r="V51" s="10" t="n"/>
    </row>
    <row r="52" ht="15.75" customHeight="1" s="34">
      <c r="G52" s="29" t="n"/>
    </row>
    <row r="53" ht="15.75" customHeight="1" s="34">
      <c r="G53" s="29" t="n"/>
    </row>
    <row r="54" ht="15.75" customHeight="1" s="34">
      <c r="G54" s="29" t="n"/>
    </row>
    <row r="55" ht="15.75" customHeight="1" s="34">
      <c r="G55" s="29" t="n"/>
    </row>
    <row r="56" ht="15.75" customHeight="1" s="34">
      <c r="G56" s="29" t="n"/>
    </row>
    <row r="57" ht="15.75" customHeight="1" s="34">
      <c r="G57" s="29" t="n"/>
    </row>
    <row r="58" ht="15.75" customHeight="1" s="34">
      <c r="G58" s="29" t="n"/>
    </row>
    <row r="59" ht="15.75" customHeight="1" s="34">
      <c r="G59" s="29" t="n"/>
    </row>
    <row r="60" ht="15.75" customHeight="1" s="34">
      <c r="G60" s="29" t="n"/>
    </row>
    <row r="61" ht="15.75" customHeight="1" s="34">
      <c r="G61" s="29" t="n"/>
    </row>
    <row r="62" ht="15.75" customHeight="1" s="34">
      <c r="G62" s="29" t="n"/>
    </row>
    <row r="63" ht="15.75" customHeight="1" s="34">
      <c r="G63" s="29" t="n"/>
    </row>
    <row r="64" ht="15.75" customHeight="1" s="34">
      <c r="G64" s="29" t="n"/>
    </row>
    <row r="65" ht="15.75" customHeight="1" s="34">
      <c r="G65" s="29" t="n"/>
    </row>
    <row r="66" ht="15.75" customHeight="1" s="34">
      <c r="G66" s="29" t="n"/>
    </row>
    <row r="67" ht="15.75" customHeight="1" s="34">
      <c r="G67" s="29" t="n"/>
    </row>
    <row r="68" ht="15.75" customHeight="1" s="34">
      <c r="G68" s="29" t="n"/>
    </row>
    <row r="69" ht="15.75" customHeight="1" s="34">
      <c r="G69" s="29" t="n"/>
    </row>
    <row r="70" ht="15.75" customHeight="1" s="34">
      <c r="G70" s="29" t="n"/>
    </row>
    <row r="71" ht="15.75" customHeight="1" s="34">
      <c r="G71" s="29" t="n"/>
    </row>
    <row r="72" ht="15.75" customHeight="1" s="34">
      <c r="G72" s="29" t="n"/>
    </row>
    <row r="73" ht="15.75" customHeight="1" s="34">
      <c r="G73" s="29" t="n"/>
    </row>
    <row r="74" ht="15.75" customHeight="1" s="34">
      <c r="G74" s="29" t="n"/>
    </row>
    <row r="75" ht="15.75" customHeight="1" s="34">
      <c r="G75" s="29" t="n"/>
    </row>
    <row r="76" ht="15.75" customHeight="1" s="34">
      <c r="G76" s="29" t="n"/>
    </row>
    <row r="77" ht="15.75" customHeight="1" s="34">
      <c r="G77" s="29" t="n"/>
    </row>
    <row r="78" ht="15.75" customHeight="1" s="34">
      <c r="G78" s="29" t="n"/>
    </row>
    <row r="79" ht="15.75" customHeight="1" s="34">
      <c r="G79" s="29" t="n"/>
    </row>
    <row r="80" ht="15.75" customHeight="1" s="34">
      <c r="G80" s="29" t="n"/>
    </row>
    <row r="81" ht="15.75" customHeight="1" s="34">
      <c r="G81" s="29" t="n"/>
    </row>
    <row r="82" ht="15.75" customHeight="1" s="34">
      <c r="G82" s="29" t="n"/>
    </row>
    <row r="83" ht="15.75" customHeight="1" s="34">
      <c r="G83" s="29" t="n"/>
    </row>
    <row r="84" ht="15.75" customHeight="1" s="34">
      <c r="G84" s="29" t="n"/>
    </row>
    <row r="85" ht="15.75" customHeight="1" s="34">
      <c r="G85" s="29" t="n"/>
    </row>
    <row r="86" ht="15.75" customHeight="1" s="34">
      <c r="G86" s="29" t="n"/>
    </row>
    <row r="87" ht="15.75" customHeight="1" s="34">
      <c r="G87" s="29" t="n"/>
    </row>
    <row r="88" ht="15.75" customHeight="1" s="34">
      <c r="G88" s="29" t="n"/>
    </row>
    <row r="89" ht="15.75" customHeight="1" s="34">
      <c r="G89" s="29" t="n"/>
    </row>
    <row r="90" ht="15.75" customHeight="1" s="34">
      <c r="G90" s="29" t="n"/>
    </row>
    <row r="91" ht="15.75" customHeight="1" s="34">
      <c r="G91" s="29" t="n"/>
    </row>
    <row r="92" ht="15.75" customHeight="1" s="34">
      <c r="G92" s="29" t="n"/>
    </row>
    <row r="93" ht="15.75" customHeight="1" s="34">
      <c r="G93" s="29" t="n"/>
    </row>
    <row r="94" ht="15.75" customHeight="1" s="34">
      <c r="G94" s="29" t="n"/>
    </row>
    <row r="95" ht="15.75" customHeight="1" s="34">
      <c r="G95" s="29" t="n"/>
    </row>
    <row r="96" ht="15.75" customHeight="1" s="34">
      <c r="G96" s="29" t="n"/>
    </row>
    <row r="97" ht="15.75" customHeight="1" s="34">
      <c r="G97" s="29" t="n"/>
    </row>
    <row r="98" ht="15.75" customHeight="1" s="34">
      <c r="G98" s="29" t="n"/>
    </row>
    <row r="99" ht="15.75" customHeight="1" s="34">
      <c r="G99" s="29" t="n"/>
    </row>
    <row r="100" ht="15.75" customHeight="1" s="34">
      <c r="G100" s="29" t="n"/>
    </row>
    <row r="101" ht="15.75" customHeight="1" s="34">
      <c r="G101" s="29" t="n"/>
    </row>
    <row r="102" ht="15.75" customHeight="1" s="34">
      <c r="G102" s="29" t="n"/>
    </row>
    <row r="103" ht="15.75" customHeight="1" s="34">
      <c r="G103" s="29" t="n"/>
    </row>
    <row r="104" ht="15.75" customHeight="1" s="34">
      <c r="G104" s="29" t="n"/>
    </row>
    <row r="105" ht="15.75" customHeight="1" s="34">
      <c r="G105" s="29" t="n"/>
    </row>
    <row r="106" ht="15.75" customHeight="1" s="34">
      <c r="G106" s="29" t="n"/>
    </row>
    <row r="107" ht="15.75" customHeight="1" s="34">
      <c r="G107" s="29" t="n"/>
    </row>
    <row r="108" ht="15.75" customHeight="1" s="34">
      <c r="G108" s="29" t="n"/>
    </row>
    <row r="109" ht="15.75" customHeight="1" s="34">
      <c r="G109" s="29" t="n"/>
    </row>
    <row r="110" ht="15.75" customHeight="1" s="34">
      <c r="G110" s="29" t="n"/>
    </row>
    <row r="111" ht="15.75" customHeight="1" s="34">
      <c r="G111" s="29" t="n"/>
    </row>
    <row r="112" ht="15.75" customHeight="1" s="34">
      <c r="G112" s="29" t="n"/>
    </row>
    <row r="113" ht="15.75" customHeight="1" s="34">
      <c r="G113" s="29" t="n"/>
    </row>
    <row r="114" ht="15.75" customHeight="1" s="34">
      <c r="G114" s="29" t="n"/>
    </row>
    <row r="115" ht="15.75" customHeight="1" s="34">
      <c r="G115" s="29" t="n"/>
    </row>
    <row r="116" ht="15.75" customHeight="1" s="34">
      <c r="G116" s="29" t="n"/>
    </row>
    <row r="117" ht="15.75" customHeight="1" s="34">
      <c r="G117" s="29" t="n"/>
    </row>
    <row r="118" ht="15.75" customHeight="1" s="34">
      <c r="G118" s="29" t="n"/>
    </row>
    <row r="119" ht="15.75" customHeight="1" s="34">
      <c r="G119" s="29" t="n"/>
    </row>
    <row r="120" ht="15.75" customHeight="1" s="34">
      <c r="G120" s="29" t="n"/>
    </row>
    <row r="121" ht="15.75" customHeight="1" s="34">
      <c r="G121" s="29" t="n"/>
    </row>
    <row r="122" ht="15.75" customHeight="1" s="34">
      <c r="G122" s="29" t="n"/>
    </row>
    <row r="123" ht="15.75" customHeight="1" s="34">
      <c r="G123" s="29" t="n"/>
    </row>
    <row r="124" ht="15.75" customHeight="1" s="34">
      <c r="G124" s="29" t="n"/>
    </row>
    <row r="125" ht="15.75" customHeight="1" s="34">
      <c r="G125" s="29" t="n"/>
    </row>
    <row r="126" ht="15.75" customHeight="1" s="34">
      <c r="G126" s="29" t="n"/>
    </row>
    <row r="127" ht="15.75" customHeight="1" s="34">
      <c r="G127" s="29" t="n"/>
    </row>
    <row r="128" ht="15.75" customHeight="1" s="34">
      <c r="G128" s="29" t="n"/>
    </row>
    <row r="129" ht="15.75" customHeight="1" s="34">
      <c r="G129" s="29" t="n"/>
    </row>
    <row r="130" ht="15.75" customHeight="1" s="34">
      <c r="G130" s="29" t="n"/>
    </row>
    <row r="131" ht="15.75" customHeight="1" s="34">
      <c r="G131" s="29" t="n"/>
    </row>
    <row r="132" ht="15.75" customHeight="1" s="34">
      <c r="G132" s="29" t="n"/>
    </row>
    <row r="133" ht="15.75" customHeight="1" s="34">
      <c r="G133" s="29" t="n"/>
    </row>
    <row r="134" ht="15.75" customHeight="1" s="34">
      <c r="G134" s="29" t="n"/>
    </row>
    <row r="135" ht="15.75" customHeight="1" s="34">
      <c r="G135" s="29" t="n"/>
    </row>
    <row r="136" ht="15.75" customHeight="1" s="34">
      <c r="G136" s="29" t="n"/>
    </row>
    <row r="137" ht="15.75" customHeight="1" s="34">
      <c r="G137" s="29" t="n"/>
    </row>
    <row r="138" ht="15.75" customHeight="1" s="34">
      <c r="G138" s="29" t="n"/>
    </row>
    <row r="139" ht="15.75" customHeight="1" s="34">
      <c r="G139" s="29" t="n"/>
    </row>
    <row r="140" ht="15.75" customHeight="1" s="34">
      <c r="G140" s="29" t="n"/>
    </row>
    <row r="141" ht="15.75" customHeight="1" s="34">
      <c r="G141" s="29" t="n"/>
    </row>
    <row r="142" ht="15.75" customHeight="1" s="34">
      <c r="G142" s="29" t="n"/>
    </row>
    <row r="143" ht="15.75" customHeight="1" s="34">
      <c r="G143" s="29" t="n"/>
    </row>
    <row r="144" ht="15.75" customHeight="1" s="34">
      <c r="G144" s="29" t="n"/>
    </row>
    <row r="145" ht="15.75" customHeight="1" s="34">
      <c r="G145" s="29" t="n"/>
    </row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conditionalFormatting sqref="J2:J51">
    <cfRule type="cellIs" priority="1" operator="equal" dxfId="1">
      <formula>"✅ GO"</formula>
    </cfRule>
    <cfRule type="cellIs" priority="2" operator="equal" dxfId="0">
      <formula>"❌ SKIP"</formula>
    </cfRule>
  </conditionalFormatting>
  <conditionalFormatting sqref="T2:T51">
    <cfRule type="cellIs" priority="3" operator="greaterThan" dxfId="1">
      <formula>0</formula>
    </cfRule>
    <cfRule type="cellIs" priority="4" operator="lessThan" dxfId="0">
      <formula>0</formula>
    </cfRule>
  </conditionalFormatting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ColWidth="14.44140625" defaultRowHeight="15" customHeight="1"/>
  <cols>
    <col width="28" customWidth="1" style="34" min="1" max="1"/>
    <col width="20" customWidth="1" style="34" min="2" max="2"/>
    <col width="8.6640625" customWidth="1" style="34" min="3" max="26"/>
  </cols>
  <sheetData>
    <row r="1" ht="17.4" customHeight="1" s="34">
      <c r="A1" s="35" t="inlineStr">
        <is>
          <t>📊 TRADE PERFORMANCE DASHBOARD</t>
        </is>
      </c>
    </row>
    <row r="3" ht="14.4" customHeight="1" s="34">
      <c r="A3" s="1" t="inlineStr">
        <is>
          <t>Total Trades Taken</t>
        </is>
      </c>
      <c r="B3" s="1">
        <f>COUNTA('Trade Log'!B2:B51)</f>
        <v/>
      </c>
    </row>
    <row r="4" ht="14.4" customHeight="1" s="34">
      <c r="A4" s="22" t="inlineStr">
        <is>
          <t>Winning Trades</t>
        </is>
      </c>
      <c r="B4" s="23">
        <f>COUNTIF('Trade Log'!T2:T51,"&gt;"&amp;0)</f>
        <v/>
      </c>
    </row>
    <row r="5" ht="14.4" customHeight="1" s="34">
      <c r="A5" s="22" t="inlineStr">
        <is>
          <t>Losing Trades</t>
        </is>
      </c>
      <c r="B5" s="23">
        <f>COUNTIF('Trade Log'!T2:T51,"&lt;"&amp;0)</f>
        <v/>
      </c>
    </row>
    <row r="6" ht="14.4" customHeight="1" s="34">
      <c r="A6" s="22" t="inlineStr">
        <is>
          <t>Win Rate (%)</t>
        </is>
      </c>
      <c r="B6" s="24">
        <f>IF(B3&gt;0,B4/B3*100,0)</f>
        <v/>
      </c>
    </row>
    <row r="7" ht="14.4" customHeight="1" s="34">
      <c r="A7" s="22" t="inlineStr">
        <is>
          <t>Total P&amp;L (₹)</t>
        </is>
      </c>
      <c r="B7" s="25">
        <f>SUMIF('Trade Log'!T2:T51,"&lt;&gt;"&amp;"",'Trade Log'!T2:T51)</f>
        <v/>
      </c>
    </row>
    <row r="8" ht="14.4" customHeight="1" s="34">
      <c r="A8" s="22" t="inlineStr">
        <is>
          <t>Avg Win (₹)</t>
        </is>
      </c>
      <c r="B8" s="25">
        <f>IF(B4&gt;0,SUMIF('Trade Log'!T2:T51,"&gt;"&amp;0,'Trade Log'!T2:T51)/B4,0)</f>
        <v/>
      </c>
    </row>
    <row r="9" ht="14.4" customHeight="1" s="34">
      <c r="A9" s="22" t="inlineStr">
        <is>
          <t>Avg Loss (₹)</t>
        </is>
      </c>
      <c r="B9" s="25">
        <f>IF(B5&gt;0,SUMIF('Trade Log'!T2:T51,"&lt;"&amp;0,'Trade Log'!T2:T51)/B5,0)</f>
        <v/>
      </c>
    </row>
    <row r="10" ht="14.4" customHeight="1" s="34">
      <c r="A10" s="22" t="inlineStr">
        <is>
          <t>Expectancy (₹)</t>
        </is>
      </c>
      <c r="B10" s="25">
        <f>IF(B3&gt;0,B7/B3,0)</f>
        <v/>
      </c>
    </row>
    <row r="11" ht="14.4" customHeight="1" s="34">
      <c r="A11" s="22" t="inlineStr">
        <is>
          <t>Largest Win (₹)</t>
        </is>
      </c>
      <c r="B11" s="25">
        <f>IF(B3&gt;0,MAX('Trade Log'!T2:T51),0)</f>
        <v/>
      </c>
    </row>
    <row r="12" ht="14.4" customHeight="1" s="34">
      <c r="A12" s="22" t="inlineStr">
        <is>
          <t>Largest Loss (₹)</t>
        </is>
      </c>
      <c r="B12" s="25">
        <f>IF(B3&gt;0,MIN('Trade Log'!T2:T51),0)</f>
        <v/>
      </c>
    </row>
    <row r="13" ht="14.4" customHeight="1" s="34">
      <c r="A13" s="22" t="inlineStr">
        <is>
          <t>Capital Deployed (₹)</t>
        </is>
      </c>
      <c r="B13" s="25">
        <f>SUMIF('Trade Log'!L2:L51,"&lt;&gt;"&amp;"",'Trade Log'!L2:L51)</f>
        <v/>
      </c>
    </row>
    <row r="14" ht="14.4" customHeight="1" s="34">
      <c r="A14" s="22" t="inlineStr">
        <is>
          <t>ROI on Deployed (%)</t>
        </is>
      </c>
      <c r="B14" s="24">
        <f>IF(B13&gt;0,B7/B13*100,0)</f>
        <v/>
      </c>
    </row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1">
    <mergeCell ref="A1:D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ColWidth="14.44140625" defaultRowHeight="15" customHeight="1"/>
  <cols>
    <col width="90" customWidth="1" style="34" min="1" max="1"/>
    <col width="8.6640625" customWidth="1" style="34" min="2" max="26"/>
  </cols>
  <sheetData>
    <row r="1" ht="17.4" customHeight="1" s="34">
      <c r="A1" s="35" t="inlineStr">
        <is>
          <t>WORKFLOW — Pine Script → Sheet → Zerodha GTT</t>
        </is>
      </c>
    </row>
    <row r="3" ht="14.4" customHeight="1" s="34">
      <c r="A3" s="26" t="inlineStr">
        <is>
          <t>STEP 1: Config sheet mein apna capital, risk %, max positions set karo (blue cells = editable)</t>
        </is>
      </c>
    </row>
    <row r="4" ht="14.4" customHeight="1" s="34">
      <c r="A4" s="26" t="inlineStr">
        <is>
          <t>STEP 2: TradingView pe Pine Script indicator se Entry, SL, T1, T2 note karo</t>
        </is>
      </c>
    </row>
    <row r="5" ht="14.4" customHeight="1" s="34">
      <c r="A5" s="26" t="inlineStr">
        <is>
          <t>STEP 3: Trade Log mein Date, Stock, Entry, SL, T1, T2 bharo — baaki auto-fill hoga</t>
        </is>
      </c>
    </row>
    <row r="6" ht="14.4" customHeight="1" s="34">
      <c r="A6" s="26" t="inlineStr">
        <is>
          <t>STEP 4: Signal column dekho — ✅ GO = trade lo, ❌ SKIP = chhodo</t>
        </is>
      </c>
    </row>
    <row r="7" ht="14.4" customHeight="1" s="34">
      <c r="A7" s="26" t="inlineStr">
        <is>
          <t>STEP 5: GTT columns (N-Q) se direct Zerodha mein OCO order place karo:</t>
        </is>
      </c>
    </row>
    <row r="8" ht="14.4" customHeight="1" s="34">
      <c r="A8" s="27" t="inlineStr">
        <is>
          <t xml:space="preserve">    → GTT SL Trigger (col N) = Zerodha GTT mein 'Stoploss Trigger'</t>
        </is>
      </c>
    </row>
    <row r="9" ht="14.4" customHeight="1" s="34">
      <c r="A9" s="27" t="inlineStr">
        <is>
          <t xml:space="preserve">    → GTT SL Price (col O) = 'Stoploss Limit Price' (0.5% buffer included)</t>
        </is>
      </c>
    </row>
    <row r="10" ht="14.4" customHeight="1" s="34">
      <c r="A10" s="27" t="inlineStr">
        <is>
          <t xml:space="preserve">    → GTT Target Trigger (col P) = 'Target Trigger'</t>
        </is>
      </c>
    </row>
    <row r="11" ht="14.4" customHeight="1" s="34">
      <c r="A11" s="27" t="inlineStr">
        <is>
          <t xml:space="preserve">    → GTT Target Price (col Q) = 'Target Limit Price' (0.2% buffer included)</t>
        </is>
      </c>
    </row>
    <row r="12" ht="14.4" customHeight="1" s="34">
      <c r="A12" s="26" t="inlineStr">
        <is>
          <t>STEP 6: Trade exit ke baad Status (OPEN/SL HIT/TARGET/PARTIAL) aur Exit Price bharo</t>
        </is>
      </c>
    </row>
    <row r="13" ht="14.4" customHeight="1" s="34">
      <c r="A13" s="26" t="inlineStr">
        <is>
          <t>STEP 7: Dashboard sheet pe apna overall performance track karo</t>
        </is>
      </c>
    </row>
    <row r="15" ht="14.4" customHeight="1" s="34">
      <c r="A15" s="28" t="inlineStr">
        <is>
          <t>IMPORTANT NOTES:</t>
        </is>
      </c>
    </row>
    <row r="16" ht="14.4" customHeight="1" s="34">
      <c r="A16" s="27" t="inlineStr">
        <is>
          <t>• GTT SL Price mein 0.5% buffer hai — market order slippage cover karne ke liye</t>
        </is>
      </c>
    </row>
    <row r="17" ht="14.4" customHeight="1" s="34">
      <c r="A17" s="27" t="inlineStr">
        <is>
          <t>• GTT Target Price mein 0.2% buffer hai — guaranteed fill ke liye</t>
        </is>
      </c>
    </row>
    <row r="18" ht="14.4" customHeight="1" s="34">
      <c r="A18" s="27" t="inlineStr">
        <is>
          <t>• R:R 2:1 se kam pe signal ❌ SKIP dikhayega — Config mein change kar sakte ho</t>
        </is>
      </c>
    </row>
    <row r="19" ht="14.4" customHeight="1" s="34">
      <c r="A19" s="27" t="inlineStr">
        <is>
          <t>• Position sizing automatic hai — risk amount se Qty calculate hota hai</t>
        </is>
      </c>
    </row>
    <row r="20" ht="14.4" customHeight="1" s="34">
      <c r="A20" s="27" t="inlineStr">
        <is>
          <t>• P&amp;L mein ₹40 brokerage (entry+exit) already deducted hai</t>
        </is>
      </c>
    </row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Date</t>
        </is>
      </c>
      <c r="B1" s="36" t="inlineStr">
        <is>
          <t>Stock</t>
        </is>
      </c>
      <c r="C1" s="36" t="inlineStr">
        <is>
          <t>LTP (₹)</t>
        </is>
      </c>
      <c r="D1" s="36" t="inlineStr">
        <is>
          <t>52W High (₹)</t>
        </is>
      </c>
      <c r="E1" s="36" t="inlineStr">
        <is>
          <t>% from High</t>
        </is>
      </c>
      <c r="F1" s="36" t="inlineStr">
        <is>
          <t>SMA50</t>
        </is>
      </c>
      <c r="G1" s="36" t="inlineStr">
        <is>
          <t>1M Return %</t>
        </is>
      </c>
      <c r="H1" s="36" t="inlineStr">
        <is>
          <t>Note</t>
        </is>
      </c>
    </row>
    <row r="2">
      <c r="A2" t="inlineStr">
        <is>
          <t>2026-07-20</t>
        </is>
      </c>
      <c r="B2" t="inlineStr">
        <is>
          <t>FLUOROCHEM</t>
        </is>
      </c>
      <c r="C2" t="n">
        <v>4316.2</v>
      </c>
      <c r="D2" t="n">
        <v>4329.2</v>
      </c>
      <c r="E2" t="n">
        <v>0.3</v>
      </c>
      <c r="F2" t="n">
        <v>3805.69</v>
      </c>
      <c r="G2" t="n">
        <v>12.4</v>
      </c>
      <c r="H2" t="inlineStr">
        <is>
          <t>Near-breakout — watch for volume surge + close above high</t>
        </is>
      </c>
    </row>
    <row r="3">
      <c r="A3" t="inlineStr">
        <is>
          <t>2026-07-20</t>
        </is>
      </c>
      <c r="B3" t="inlineStr">
        <is>
          <t>SUNPHARMA</t>
        </is>
      </c>
      <c r="C3" t="n">
        <v>1956.4</v>
      </c>
      <c r="D3" t="n">
        <v>1962.7</v>
      </c>
      <c r="E3" t="n">
        <v>0.32</v>
      </c>
      <c r="F3" t="n">
        <v>1854.4</v>
      </c>
      <c r="G3" t="n">
        <v>6.7</v>
      </c>
      <c r="H3" t="inlineStr">
        <is>
          <t>Near-breakout — watch for volume surge + close above high</t>
        </is>
      </c>
    </row>
    <row r="4">
      <c r="A4" t="inlineStr">
        <is>
          <t>2026-07-20</t>
        </is>
      </c>
      <c r="B4" t="inlineStr">
        <is>
          <t>ADOR</t>
        </is>
      </c>
      <c r="C4" t="n">
        <v>1455.3</v>
      </c>
      <c r="D4" t="n">
        <v>1460</v>
      </c>
      <c r="E4" t="n">
        <v>0.32</v>
      </c>
      <c r="F4" t="n">
        <v>1174.88</v>
      </c>
      <c r="G4" t="n">
        <v>21.69</v>
      </c>
      <c r="H4" t="inlineStr">
        <is>
          <t>Near-breakout — watch for volume surge + close above high</t>
        </is>
      </c>
    </row>
    <row r="5">
      <c r="A5" t="inlineStr">
        <is>
          <t>2026-07-20</t>
        </is>
      </c>
      <c r="B5" t="inlineStr">
        <is>
          <t>LLOYDSME</t>
        </is>
      </c>
      <c r="C5" t="n">
        <v>1907.9</v>
      </c>
      <c r="D5" t="n">
        <v>1914.8</v>
      </c>
      <c r="E5" t="n">
        <v>0.36</v>
      </c>
      <c r="F5" t="n">
        <v>1771.15</v>
      </c>
      <c r="G5" t="n">
        <v>8.02</v>
      </c>
      <c r="H5" t="inlineStr">
        <is>
          <t>Near-breakout — watch for volume surge + close above high</t>
        </is>
      </c>
    </row>
    <row r="6">
      <c r="A6" t="inlineStr">
        <is>
          <t>2026-07-20</t>
        </is>
      </c>
      <c r="B6" t="inlineStr">
        <is>
          <t>NAVINFLUOR</t>
        </is>
      </c>
      <c r="C6" t="n">
        <v>7861.5</v>
      </c>
      <c r="D6" t="n">
        <v>7900</v>
      </c>
      <c r="E6" t="n">
        <v>0.49</v>
      </c>
      <c r="F6" t="n">
        <v>7327.15</v>
      </c>
      <c r="G6" t="n">
        <v>4.91</v>
      </c>
      <c r="H6" t="inlineStr">
        <is>
          <t>Near-breakout — watch for volume surge + close above high</t>
        </is>
      </c>
    </row>
    <row r="7">
      <c r="A7" t="inlineStr">
        <is>
          <t>2026-07-20</t>
        </is>
      </c>
      <c r="B7" t="inlineStr">
        <is>
          <t>SONACOMS</t>
        </is>
      </c>
      <c r="C7" t="n">
        <v>714.55</v>
      </c>
      <c r="D7" t="n">
        <v>718.65</v>
      </c>
      <c r="E7" t="n">
        <v>0.57</v>
      </c>
      <c r="F7" t="n">
        <v>619.25</v>
      </c>
      <c r="G7" t="n">
        <v>16.75</v>
      </c>
      <c r="H7" t="inlineStr">
        <is>
          <t>Near-breakout — watch for volume surge + close above high</t>
        </is>
      </c>
    </row>
    <row r="8">
      <c r="A8" t="inlineStr">
        <is>
          <t>2026-07-20</t>
        </is>
      </c>
      <c r="B8" t="inlineStr">
        <is>
          <t>SAREGAMA</t>
        </is>
      </c>
      <c r="C8" t="n">
        <v>514.15</v>
      </c>
      <c r="D8" t="n">
        <v>518.55</v>
      </c>
      <c r="E8" t="n">
        <v>0.85</v>
      </c>
      <c r="F8" t="n">
        <v>451.1</v>
      </c>
      <c r="G8" t="n">
        <v>10.36</v>
      </c>
      <c r="H8" t="inlineStr">
        <is>
          <t>Near-breakout — watch for volume surge + close above high</t>
        </is>
      </c>
    </row>
    <row r="9">
      <c r="A9" t="inlineStr">
        <is>
          <t>2026-07-20</t>
        </is>
      </c>
      <c r="B9" t="inlineStr">
        <is>
          <t>KABRAEXTRU</t>
        </is>
      </c>
      <c r="C9" t="n">
        <v>351.65</v>
      </c>
      <c r="D9" t="n">
        <v>355</v>
      </c>
      <c r="E9" t="n">
        <v>0.9399999999999999</v>
      </c>
      <c r="F9" t="n">
        <v>254.26</v>
      </c>
      <c r="G9" t="n">
        <v>47.91</v>
      </c>
      <c r="H9" t="inlineStr">
        <is>
          <t>Near-breakout — watch for volume surge + close above high</t>
        </is>
      </c>
    </row>
    <row r="10">
      <c r="A10" t="inlineStr">
        <is>
          <t>2026-07-20</t>
        </is>
      </c>
      <c r="B10" t="inlineStr">
        <is>
          <t>SHREEJISPG</t>
        </is>
      </c>
      <c r="C10" t="n">
        <v>615.85</v>
      </c>
      <c r="D10" t="n">
        <v>621.9</v>
      </c>
      <c r="E10" t="n">
        <v>0.97</v>
      </c>
      <c r="F10" t="n">
        <v>487.37</v>
      </c>
      <c r="G10" t="n">
        <v>23.02</v>
      </c>
      <c r="H10" t="inlineStr">
        <is>
          <t>Near-breakout — watch for volume surge + close above high</t>
        </is>
      </c>
    </row>
    <row r="11">
      <c r="A11" t="inlineStr">
        <is>
          <t>2026-07-20</t>
        </is>
      </c>
      <c r="B11" t="inlineStr">
        <is>
          <t>CYIENTDLM</t>
        </is>
      </c>
      <c r="C11" t="n">
        <v>596.05</v>
      </c>
      <c r="D11" t="n">
        <v>602.95</v>
      </c>
      <c r="E11" t="n">
        <v>1.14</v>
      </c>
      <c r="F11" t="n">
        <v>468.33</v>
      </c>
      <c r="G11" t="n">
        <v>25.84</v>
      </c>
      <c r="H11" t="inlineStr">
        <is>
          <t>Near-breakout — watch for volume surge + close above high</t>
        </is>
      </c>
    </row>
    <row r="12">
      <c r="A12" t="inlineStr">
        <is>
          <t>2026-07-20</t>
        </is>
      </c>
      <c r="B12" t="inlineStr">
        <is>
          <t>APOLLOHOSP</t>
        </is>
      </c>
      <c r="C12" t="n">
        <v>8905</v>
      </c>
      <c r="D12" t="n">
        <v>9009</v>
      </c>
      <c r="E12" t="n">
        <v>1.15</v>
      </c>
      <c r="F12" t="n">
        <v>8473.209999999999</v>
      </c>
      <c r="G12" t="n">
        <v>4.89</v>
      </c>
      <c r="H12" t="inlineStr">
        <is>
          <t>Near-breakout — watch for volume surge + close above high</t>
        </is>
      </c>
    </row>
    <row r="13">
      <c r="A13" t="inlineStr">
        <is>
          <t>2026-07-20</t>
        </is>
      </c>
      <c r="B13" t="inlineStr">
        <is>
          <t>GANDHAR</t>
        </is>
      </c>
      <c r="C13" t="n">
        <v>228.32</v>
      </c>
      <c r="D13" t="n">
        <v>231</v>
      </c>
      <c r="E13" t="n">
        <v>1.16</v>
      </c>
      <c r="F13" t="n">
        <v>172.79</v>
      </c>
      <c r="G13" t="n">
        <v>26.66</v>
      </c>
      <c r="H13" t="inlineStr">
        <is>
          <t>Near-breakout — watch for volume surge + close above high</t>
        </is>
      </c>
    </row>
    <row r="14">
      <c r="A14" t="inlineStr">
        <is>
          <t>2026-07-20</t>
        </is>
      </c>
      <c r="B14" t="inlineStr">
        <is>
          <t>CEMPRO</t>
        </is>
      </c>
      <c r="C14" t="n">
        <v>1627</v>
      </c>
      <c r="D14" t="n">
        <v>1647.3</v>
      </c>
      <c r="E14" t="n">
        <v>1.23</v>
      </c>
      <c r="F14" t="n">
        <v>1202.72</v>
      </c>
      <c r="G14" t="n">
        <v>29.95</v>
      </c>
      <c r="H14" t="inlineStr">
        <is>
          <t>Near-breakout — watch for volume surge + close above high</t>
        </is>
      </c>
    </row>
    <row r="15">
      <c r="A15" t="inlineStr">
        <is>
          <t>2026-07-20</t>
        </is>
      </c>
      <c r="B15" t="inlineStr">
        <is>
          <t>MBAPL</t>
        </is>
      </c>
      <c r="C15" t="n">
        <v>145.55</v>
      </c>
      <c r="D15" t="n">
        <v>147.7</v>
      </c>
      <c r="E15" t="n">
        <v>1.46</v>
      </c>
      <c r="F15" t="n">
        <v>114.52</v>
      </c>
      <c r="G15" t="n">
        <v>29.26</v>
      </c>
      <c r="H15" t="inlineStr">
        <is>
          <t>Near-breakout — watch for volume surge + close above high</t>
        </is>
      </c>
    </row>
    <row r="16">
      <c r="A16" t="inlineStr">
        <is>
          <t>2026-07-20</t>
        </is>
      </c>
      <c r="B16" t="inlineStr">
        <is>
          <t>RPGLIFE</t>
        </is>
      </c>
      <c r="C16" t="n">
        <v>3017.1</v>
      </c>
      <c r="D16" t="n">
        <v>3063.6</v>
      </c>
      <c r="E16" t="n">
        <v>1.52</v>
      </c>
      <c r="F16" t="n">
        <v>2347.95</v>
      </c>
      <c r="G16" t="n">
        <v>33.79</v>
      </c>
      <c r="H16" t="inlineStr">
        <is>
          <t>Near-breakout — watch for volume surge + close above high</t>
        </is>
      </c>
    </row>
    <row r="17">
      <c r="A17" t="inlineStr">
        <is>
          <t>2026-07-20</t>
        </is>
      </c>
      <c r="B17" t="inlineStr">
        <is>
          <t>TORNTPHARM</t>
        </is>
      </c>
      <c r="C17" t="n">
        <v>5005.4</v>
      </c>
      <c r="D17" t="n">
        <v>5085.8</v>
      </c>
      <c r="E17" t="n">
        <v>1.58</v>
      </c>
      <c r="F17" t="n">
        <v>4571.98</v>
      </c>
      <c r="G17" t="n">
        <v>12.99</v>
      </c>
      <c r="H17" t="inlineStr">
        <is>
          <t>Near-breakout — watch for volume surge + close above high</t>
        </is>
      </c>
    </row>
    <row r="18">
      <c r="A18" t="inlineStr">
        <is>
          <t>2026-07-20</t>
        </is>
      </c>
      <c r="B18" t="inlineStr">
        <is>
          <t>DIVISLAB</t>
        </is>
      </c>
      <c r="C18" t="n">
        <v>7318</v>
      </c>
      <c r="D18" t="n">
        <v>7438.5</v>
      </c>
      <c r="E18" t="n">
        <v>1.62</v>
      </c>
      <c r="F18" t="n">
        <v>6780.25</v>
      </c>
      <c r="G18" t="n">
        <v>8.529999999999999</v>
      </c>
      <c r="H18" t="inlineStr">
        <is>
          <t>Near-breakout — watch for volume surge + close above high</t>
        </is>
      </c>
    </row>
    <row r="19">
      <c r="A19" t="inlineStr">
        <is>
          <t>2026-07-20</t>
        </is>
      </c>
      <c r="B19" t="inlineStr">
        <is>
          <t>VISHNU</t>
        </is>
      </c>
      <c r="C19" t="n">
        <v>640.1</v>
      </c>
      <c r="D19" t="n">
        <v>652</v>
      </c>
      <c r="E19" t="n">
        <v>1.83</v>
      </c>
      <c r="F19" t="n">
        <v>602.61</v>
      </c>
      <c r="G19" t="n">
        <v>6.51</v>
      </c>
      <c r="H19" t="inlineStr">
        <is>
          <t>Near-breakout — watch for volume surge + close above high</t>
        </is>
      </c>
    </row>
    <row r="20">
      <c r="A20" t="inlineStr">
        <is>
          <t>2026-07-20</t>
        </is>
      </c>
      <c r="B20" t="inlineStr">
        <is>
          <t>BAJAJ-AUTO</t>
        </is>
      </c>
      <c r="C20" t="n">
        <v>10522.5</v>
      </c>
      <c r="D20" t="n">
        <v>10750</v>
      </c>
      <c r="E20" t="n">
        <v>2.12</v>
      </c>
      <c r="F20" t="n">
        <v>10170.67</v>
      </c>
      <c r="G20" t="n">
        <v>4.54</v>
      </c>
      <c r="H20" t="inlineStr">
        <is>
          <t>Near-breakout — watch for volume surge + close above high</t>
        </is>
      </c>
    </row>
    <row r="21">
      <c r="A21" t="inlineStr">
        <is>
          <t>2026-07-20</t>
        </is>
      </c>
      <c r="B21" t="inlineStr">
        <is>
          <t>HSCL</t>
        </is>
      </c>
      <c r="C21" t="n">
        <v>769.9</v>
      </c>
      <c r="D21" t="n">
        <v>786.85</v>
      </c>
      <c r="E21" t="n">
        <v>2.15</v>
      </c>
      <c r="F21" t="n">
        <v>649.48</v>
      </c>
      <c r="G21" t="n">
        <v>14.73</v>
      </c>
      <c r="H21" t="inlineStr">
        <is>
          <t>Near-breakout — watch for volume surge + close above high</t>
        </is>
      </c>
    </row>
    <row r="22">
      <c r="A22" t="inlineStr">
        <is>
          <t>2026-07-20</t>
        </is>
      </c>
      <c r="B22" t="inlineStr">
        <is>
          <t>SSWL</t>
        </is>
      </c>
      <c r="C22" t="n">
        <v>276.33</v>
      </c>
      <c r="D22" t="n">
        <v>283</v>
      </c>
      <c r="E22" t="n">
        <v>2.36</v>
      </c>
      <c r="F22" t="n">
        <v>228.88</v>
      </c>
      <c r="G22" t="n">
        <v>20.62</v>
      </c>
      <c r="H22" t="inlineStr">
        <is>
          <t>Near-breakout — watch for volume surge + close above high</t>
        </is>
      </c>
    </row>
    <row r="23">
      <c r="A23" t="inlineStr">
        <is>
          <t>2026-07-20</t>
        </is>
      </c>
      <c r="B23" t="inlineStr">
        <is>
          <t>SGMART</t>
        </is>
      </c>
      <c r="C23" t="n">
        <v>677.85</v>
      </c>
      <c r="D23" t="n">
        <v>697</v>
      </c>
      <c r="E23" t="n">
        <v>2.75</v>
      </c>
      <c r="F23" t="n">
        <v>604.76</v>
      </c>
      <c r="G23" t="n">
        <v>13.37</v>
      </c>
      <c r="H23" t="inlineStr">
        <is>
          <t>Near-breakout — watch for volume surge + close above high</t>
        </is>
      </c>
    </row>
    <row r="24">
      <c r="A24" t="inlineStr">
        <is>
          <t>2026-07-20</t>
        </is>
      </c>
      <c r="B24" t="inlineStr">
        <is>
          <t>BALRAMCHIN</t>
        </is>
      </c>
      <c r="C24" t="n">
        <v>600.05</v>
      </c>
      <c r="D24" t="n">
        <v>618.3200000000001</v>
      </c>
      <c r="E24" t="n">
        <v>2.95</v>
      </c>
      <c r="F24" t="n">
        <v>549.1900000000001</v>
      </c>
      <c r="G24" t="n">
        <v>12.88</v>
      </c>
      <c r="H24" t="inlineStr">
        <is>
          <t>Near-breakout — watch for volume surge + close above high</t>
        </is>
      </c>
    </row>
    <row r="25">
      <c r="A25" t="inlineStr">
        <is>
          <t>2026-07-20</t>
        </is>
      </c>
      <c r="B25" t="inlineStr">
        <is>
          <t>JLHL</t>
        </is>
      </c>
      <c r="C25" t="n">
        <v>1558.1</v>
      </c>
      <c r="D25" t="n">
        <v>1623.76</v>
      </c>
      <c r="E25" t="n">
        <v>4.04</v>
      </c>
      <c r="F25" t="n">
        <v>1374.68</v>
      </c>
      <c r="G25" t="n">
        <v>16.09</v>
      </c>
      <c r="H25" t="inlineStr">
        <is>
          <t>Near-breakout — watch for volume surge + close above high</t>
        </is>
      </c>
    </row>
    <row r="26">
      <c r="A26" t="inlineStr">
        <is>
          <t>2026-07-20</t>
        </is>
      </c>
      <c r="B26" t="inlineStr">
        <is>
          <t>MANKIND</t>
        </is>
      </c>
      <c r="C26" t="n">
        <v>2565.8</v>
      </c>
      <c r="D26" t="n">
        <v>2693.84</v>
      </c>
      <c r="E26" t="n">
        <v>4.75</v>
      </c>
      <c r="F26" t="n">
        <v>2453.97</v>
      </c>
      <c r="G26" t="n">
        <v>6.28</v>
      </c>
      <c r="H26" t="inlineStr">
        <is>
          <t>Near-breakout — watch for volume surge + close above high</t>
        </is>
      </c>
    </row>
    <row r="27">
      <c r="A27" t="inlineStr">
        <is>
          <t>2026-07-20</t>
        </is>
      </c>
      <c r="B27" t="inlineStr">
        <is>
          <t>KAJARIACER</t>
        </is>
      </c>
      <c r="C27" t="n">
        <v>1242.2</v>
      </c>
      <c r="D27" t="n">
        <v>1309.03</v>
      </c>
      <c r="E27" t="n">
        <v>5.11</v>
      </c>
      <c r="F27" t="n">
        <v>1140.35</v>
      </c>
      <c r="G27" t="n">
        <v>6.13</v>
      </c>
      <c r="H27" t="inlineStr">
        <is>
          <t>Near-breakout — watch for volume surge + close above high</t>
        </is>
      </c>
    </row>
    <row r="28">
      <c r="A28" t="inlineStr">
        <is>
          <t>2026-07-20</t>
        </is>
      </c>
      <c r="B28" t="inlineStr">
        <is>
          <t>LLOYDSENT</t>
        </is>
      </c>
      <c r="C28" t="n">
        <v>82.23</v>
      </c>
      <c r="D28" t="n">
        <v>88.09999999999999</v>
      </c>
      <c r="E28" t="n">
        <v>6.66</v>
      </c>
      <c r="F28" t="n">
        <v>72.65000000000001</v>
      </c>
      <c r="G28" t="n">
        <v>6.56</v>
      </c>
      <c r="H28" t="inlineStr">
        <is>
          <t>Near-breakout — watch for volume surge + close above high</t>
        </is>
      </c>
    </row>
    <row r="29">
      <c r="A29" t="inlineStr">
        <is>
          <t>2026-07-20</t>
        </is>
      </c>
      <c r="B29" t="inlineStr">
        <is>
          <t>PICCADIL</t>
        </is>
      </c>
      <c r="C29" t="n">
        <v>751.6</v>
      </c>
      <c r="D29" t="n">
        <v>805.5</v>
      </c>
      <c r="E29" t="n">
        <v>6.69</v>
      </c>
      <c r="F29" t="n">
        <v>607.16</v>
      </c>
      <c r="G29" t="n">
        <v>29.81</v>
      </c>
      <c r="H29" t="inlineStr">
        <is>
          <t>Near-breakout — watch for volume surge + close above high</t>
        </is>
      </c>
    </row>
    <row r="30">
      <c r="A30" t="inlineStr">
        <is>
          <t>2026-07-20</t>
        </is>
      </c>
      <c r="B30" t="inlineStr">
        <is>
          <t>ENDURANCE</t>
        </is>
      </c>
      <c r="C30" t="n">
        <v>2741.5</v>
      </c>
      <c r="D30" t="n">
        <v>3079.9</v>
      </c>
      <c r="E30" t="n">
        <v>10.99</v>
      </c>
      <c r="F30" t="n">
        <v>2644.31</v>
      </c>
      <c r="G30" t="n">
        <v>4.54</v>
      </c>
      <c r="H30" t="inlineStr">
        <is>
          <t>Near-breakout — watch for volume surge + close above high</t>
        </is>
      </c>
    </row>
    <row r="31">
      <c r="A31" t="inlineStr">
        <is>
          <t>2026-07-20</t>
        </is>
      </c>
      <c r="B31" t="inlineStr">
        <is>
          <t>UNIONBANK</t>
        </is>
      </c>
      <c r="C31" t="n">
        <v>175.93</v>
      </c>
      <c r="D31" t="n">
        <v>199.6</v>
      </c>
      <c r="E31" t="n">
        <v>11.86</v>
      </c>
      <c r="F31" t="n">
        <v>163.95</v>
      </c>
      <c r="G31" t="n">
        <v>3.05</v>
      </c>
      <c r="H31" t="inlineStr">
        <is>
          <t>Near-breakout — watch for volume surge + close above high</t>
        </is>
      </c>
    </row>
    <row r="32">
      <c r="A32" t="inlineStr">
        <is>
          <t>2026-07-20</t>
        </is>
      </c>
      <c r="B32" t="inlineStr">
        <is>
          <t>JSWCEMENT</t>
        </is>
      </c>
      <c r="C32" t="n">
        <v>140.59</v>
      </c>
      <c r="D32" t="n">
        <v>161.55</v>
      </c>
      <c r="E32" t="n">
        <v>12.97</v>
      </c>
      <c r="F32" t="n">
        <v>130.66</v>
      </c>
      <c r="G32" t="n">
        <v>9.68</v>
      </c>
      <c r="H32" t="inlineStr">
        <is>
          <t>Near-breakout — watch for volume surge + close above high</t>
        </is>
      </c>
    </row>
    <row r="33">
      <c r="A33" t="inlineStr">
        <is>
          <t>2026-07-20</t>
        </is>
      </c>
      <c r="B33" t="inlineStr">
        <is>
          <t>DYCL</t>
        </is>
      </c>
      <c r="C33" t="n">
        <v>445.65</v>
      </c>
      <c r="D33" t="n">
        <v>519.28</v>
      </c>
      <c r="E33" t="n">
        <v>14.18</v>
      </c>
      <c r="F33" t="n">
        <v>341.69</v>
      </c>
      <c r="G33" t="n">
        <v>21.68</v>
      </c>
      <c r="H33" t="inlineStr">
        <is>
          <t>Near-breakout — watch for volume surge + close above high</t>
        </is>
      </c>
    </row>
    <row r="34">
      <c r="A34" t="inlineStr">
        <is>
          <t>2026-07-20</t>
        </is>
      </c>
      <c r="B34" t="inlineStr">
        <is>
          <t>NAZARA</t>
        </is>
      </c>
      <c r="C34" t="n">
        <v>309.25</v>
      </c>
      <c r="D34" t="n">
        <v>363.25</v>
      </c>
      <c r="E34" t="n">
        <v>14.87</v>
      </c>
      <c r="F34" t="n">
        <v>291.71</v>
      </c>
      <c r="G34" t="n">
        <v>4</v>
      </c>
      <c r="H34" t="inlineStr">
        <is>
          <t>Near-breakout — watch for volume surge + close above high</t>
        </is>
      </c>
    </row>
    <row r="35">
      <c r="A35" t="inlineStr">
        <is>
          <t>2026-07-20</t>
        </is>
      </c>
      <c r="B35" t="inlineStr">
        <is>
          <t>STYRENIX</t>
        </is>
      </c>
      <c r="C35" t="n">
        <v>2365.1</v>
      </c>
      <c r="D35" t="n">
        <v>3132.62</v>
      </c>
      <c r="E35" t="n">
        <v>24.5</v>
      </c>
      <c r="F35" t="n">
        <v>2259.9</v>
      </c>
      <c r="G35" t="n">
        <v>2.26</v>
      </c>
      <c r="H35" t="inlineStr">
        <is>
          <t>Near-breakout — watch for volume surge + close above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2026-07-18T12:19:19Z</dcterms:created>
  <dcterms:modified xmlns:dcterms="http://purl.org/dc/terms/" xmlns:xsi="http://www.w3.org/2001/XMLSchema-instance" xsi:type="dcterms:W3CDTF">2026-07-20T15:42:11Z</dcterms:modified>
  <cp:lastModifiedBy>Aditya Goyal</cp:lastModifiedBy>
</cp:coreProperties>
</file>